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ml-my.sharepoint.com/personal/shreya_lingam_mediolanum_ie/Documents/Desktop/MS Rotation/Manager Returns/"/>
    </mc:Choice>
  </mc:AlternateContent>
  <xr:revisionPtr revIDLastSave="2" documentId="8_{938B11DD-F8B4-49F1-A7F6-ACBDFC97DCF5}" xr6:coauthVersionLast="47" xr6:coauthVersionMax="47" xr10:uidLastSave="{803A8C0B-740E-4B80-8662-F918F3667FC9}"/>
  <bookViews>
    <workbookView xWindow="-120" yWindow="-120" windowWidth="29040" windowHeight="15720" tabRatio="743" xr2:uid="{96D345A7-ECA4-4AAA-9C25-D84E9233EB6F}"/>
  </bookViews>
  <sheets>
    <sheet name="FinalMap" sheetId="1" r:id="rId1"/>
    <sheet name="TE_AT_112025" sheetId="9" r:id="rId2"/>
    <sheet name="Sheet3" sheetId="6" r:id="rId3"/>
    <sheet name="IAvMS_MAP" sheetId="3" r:id="rId4"/>
    <sheet name="Sheet2" sheetId="4" r:id="rId5"/>
    <sheet name="SAA_Map_Breakdown" sheetId="2" r:id="rId6"/>
    <sheet name="Sheet1" sheetId="8" r:id="rId7"/>
    <sheet name="Exceptions" sheetId="7" r:id="rId8"/>
  </sheets>
  <definedNames>
    <definedName name="_xlnm._FilterDatabase" localSheetId="7" hidden="1">Exceptions!$A$1:$L$13</definedName>
    <definedName name="_xlnm._FilterDatabase" localSheetId="0" hidden="1">FinalMap!$A$1:$S$125</definedName>
    <definedName name="_xlnm._FilterDatabase" localSheetId="3" hidden="1">IAvMS_MAP!$A$1:$R$165</definedName>
    <definedName name="_xlnm._FilterDatabase" localSheetId="5" hidden="1">SAA_Map_Breakdown!$A$1:$P$163</definedName>
    <definedName name="_xlnm._FilterDatabase" localSheetId="6" hidden="1">Sheet1!$A$1:$D$80</definedName>
    <definedName name="_xlnm._FilterDatabase" localSheetId="4" hidden="1">Sheet2!$A$1:$B$130</definedName>
    <definedName name="_xlnm._FilterDatabase" localSheetId="2" hidden="1">Sheet3!$A$1:$L$165</definedName>
    <definedName name="_xlnm._FilterDatabase" localSheetId="1" hidden="1">TE_AT_112025!$A$1:$E$217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1" i="2" l="1"/>
  <c r="P102" i="2"/>
  <c r="P100" i="2"/>
  <c r="P99" i="2"/>
  <c r="P105" i="2"/>
  <c r="P95" i="2"/>
  <c r="P87" i="2"/>
  <c r="P88" i="2"/>
  <c r="P90" i="2"/>
  <c r="P97" i="2"/>
  <c r="P96" i="2"/>
  <c r="P98" i="2"/>
  <c r="P94" i="2"/>
  <c r="P93" i="2"/>
  <c r="P89" i="2"/>
  <c r="P22" i="2"/>
  <c r="P82" i="2"/>
  <c r="P108" i="2"/>
  <c r="P15" i="2"/>
  <c r="P107" i="2"/>
  <c r="P32" i="2"/>
  <c r="P25" i="2"/>
  <c r="P23" i="2"/>
  <c r="P135" i="2"/>
  <c r="P134" i="2"/>
  <c r="P16" i="2"/>
  <c r="P111" i="2"/>
  <c r="P110" i="2"/>
  <c r="P109" i="2"/>
  <c r="P29" i="2"/>
  <c r="P24" i="2"/>
  <c r="P106" i="2"/>
  <c r="P14" i="2"/>
  <c r="P13" i="2"/>
  <c r="P12" i="2"/>
  <c r="P26" i="2"/>
  <c r="P6" i="2"/>
  <c r="P27" i="2"/>
  <c r="P48" i="2"/>
  <c r="P50" i="2"/>
  <c r="P28" i="2"/>
  <c r="P5" i="2"/>
  <c r="P4" i="2"/>
  <c r="P11" i="2"/>
  <c r="P46" i="2"/>
  <c r="P45" i="2"/>
  <c r="P44" i="2"/>
  <c r="P39" i="2"/>
  <c r="P58" i="2"/>
  <c r="P57" i="2"/>
  <c r="P38" i="2"/>
  <c r="P37" i="2"/>
  <c r="P36" i="2"/>
  <c r="P35" i="2"/>
  <c r="P34" i="2"/>
  <c r="P33" i="2"/>
  <c r="P30" i="2"/>
  <c r="P78" i="2"/>
  <c r="P85" i="2"/>
  <c r="P17" i="2"/>
  <c r="P20" i="2"/>
  <c r="P67" i="2"/>
  <c r="P47" i="2"/>
  <c r="P83" i="2"/>
  <c r="P65" i="2"/>
  <c r="P64" i="2"/>
  <c r="P63" i="2"/>
  <c r="P62" i="2"/>
  <c r="P61" i="2"/>
  <c r="P60" i="2"/>
  <c r="P51" i="2"/>
  <c r="P103" i="2"/>
  <c r="P43" i="2"/>
  <c r="P42" i="2"/>
  <c r="P41" i="2"/>
  <c r="P75" i="2"/>
  <c r="P84" i="2"/>
  <c r="P59" i="2"/>
  <c r="P52" i="2"/>
  <c r="P18" i="2"/>
  <c r="P19" i="2"/>
  <c r="P31" i="2"/>
  <c r="P86" i="2"/>
  <c r="P81" i="2"/>
  <c r="P80" i="2"/>
  <c r="P66" i="2"/>
  <c r="P54" i="2"/>
  <c r="P138" i="2"/>
  <c r="P77" i="2"/>
  <c r="P76" i="2"/>
  <c r="P74" i="2"/>
  <c r="P73" i="2"/>
  <c r="P72" i="2"/>
  <c r="P71" i="2"/>
  <c r="P70" i="2"/>
  <c r="P69" i="2"/>
  <c r="P49" i="2"/>
  <c r="P157" i="2"/>
  <c r="P55" i="2"/>
  <c r="P151" i="2"/>
  <c r="P56" i="2"/>
  <c r="P3" i="2"/>
  <c r="P2" i="2"/>
  <c r="P10" i="2"/>
  <c r="P40" i="2"/>
  <c r="P79" i="2"/>
  <c r="P68" i="2"/>
  <c r="P7" i="2"/>
  <c r="P8" i="2"/>
  <c r="P21" i="2"/>
  <c r="P9" i="2"/>
  <c r="P155" i="2"/>
  <c r="P92" i="2"/>
  <c r="P91" i="2"/>
  <c r="P53" i="2"/>
  <c r="P116" i="2"/>
  <c r="P115" i="2"/>
  <c r="P132" i="2"/>
  <c r="P137" i="2"/>
  <c r="P129" i="2"/>
  <c r="P122" i="2"/>
  <c r="P142" i="2"/>
  <c r="P141" i="2"/>
  <c r="P125" i="2"/>
  <c r="P130" i="2"/>
  <c r="P131" i="2"/>
  <c r="P113" i="2"/>
  <c r="P112" i="2"/>
  <c r="P133" i="2"/>
  <c r="P127" i="2"/>
  <c r="P104" i="2"/>
  <c r="P140" i="2"/>
  <c r="P139" i="2"/>
  <c r="P145" i="2"/>
  <c r="P144" i="2"/>
  <c r="P136" i="2"/>
  <c r="P126" i="2"/>
  <c r="P114" i="2"/>
  <c r="P128" i="2"/>
  <c r="P120" i="2"/>
  <c r="P154" i="2"/>
  <c r="P153" i="2"/>
  <c r="P149" i="2"/>
  <c r="P147" i="2"/>
  <c r="P148" i="2"/>
  <c r="P146" i="2"/>
  <c r="P117" i="2"/>
  <c r="P121" i="2"/>
  <c r="P159" i="2"/>
  <c r="P158" i="2"/>
  <c r="P156" i="2"/>
  <c r="P150" i="2"/>
  <c r="P160" i="2"/>
  <c r="P162" i="2"/>
  <c r="P161" i="2"/>
  <c r="P124" i="2"/>
  <c r="P123" i="2"/>
  <c r="P118" i="2"/>
  <c r="P119" i="2"/>
  <c r="P143" i="2"/>
  <c r="P163" i="2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Q165" i="3"/>
  <c r="P165" i="3"/>
  <c r="Q164" i="3"/>
  <c r="P164" i="3"/>
  <c r="Q163" i="3"/>
  <c r="P163" i="3"/>
  <c r="Q162" i="3"/>
  <c r="P162" i="3"/>
  <c r="Q161" i="3"/>
  <c r="P161" i="3"/>
  <c r="Q160" i="3"/>
  <c r="P160" i="3"/>
  <c r="Q159" i="3"/>
  <c r="P159" i="3"/>
  <c r="Q158" i="3"/>
  <c r="P158" i="3"/>
  <c r="Q157" i="3"/>
  <c r="P157" i="3"/>
  <c r="Q156" i="3"/>
  <c r="P156" i="3"/>
  <c r="Q155" i="3"/>
  <c r="P155" i="3"/>
  <c r="Q154" i="3"/>
  <c r="P154" i="3"/>
  <c r="Q153" i="3"/>
  <c r="P153" i="3"/>
  <c r="Q152" i="3"/>
  <c r="P152" i="3"/>
  <c r="Q151" i="3"/>
  <c r="P151" i="3"/>
  <c r="Q150" i="3"/>
  <c r="P150" i="3"/>
  <c r="Q149" i="3"/>
  <c r="P149" i="3"/>
  <c r="Q148" i="3"/>
  <c r="P148" i="3"/>
  <c r="Q147" i="3"/>
  <c r="P147" i="3"/>
  <c r="Q146" i="3"/>
  <c r="P146" i="3"/>
  <c r="Q145" i="3"/>
  <c r="P145" i="3"/>
  <c r="Q144" i="3"/>
  <c r="P144" i="3"/>
  <c r="Q143" i="3"/>
  <c r="P143" i="3"/>
  <c r="Q142" i="3"/>
  <c r="P142" i="3"/>
  <c r="Q141" i="3"/>
  <c r="P141" i="3"/>
  <c r="Q140" i="3"/>
  <c r="P140" i="3"/>
  <c r="Q139" i="3"/>
  <c r="P139" i="3"/>
  <c r="Q138" i="3"/>
  <c r="P138" i="3"/>
  <c r="Q137" i="3"/>
  <c r="P137" i="3"/>
  <c r="Q136" i="3"/>
  <c r="P136" i="3"/>
  <c r="Q135" i="3"/>
  <c r="P135" i="3"/>
  <c r="Q134" i="3"/>
  <c r="P134" i="3"/>
  <c r="Q133" i="3"/>
  <c r="P133" i="3"/>
  <c r="Q132" i="3"/>
  <c r="P132" i="3"/>
  <c r="Q131" i="3"/>
  <c r="P131" i="3"/>
  <c r="Q130" i="3"/>
  <c r="P130" i="3"/>
  <c r="Q129" i="3"/>
  <c r="P129" i="3"/>
  <c r="Q128" i="3"/>
  <c r="P128" i="3"/>
  <c r="Q127" i="3"/>
  <c r="P127" i="3"/>
  <c r="Q126" i="3"/>
  <c r="P126" i="3"/>
  <c r="Q125" i="3"/>
  <c r="P125" i="3"/>
  <c r="Q124" i="3"/>
  <c r="P124" i="3"/>
  <c r="Q123" i="3"/>
  <c r="P123" i="3"/>
  <c r="Q122" i="3"/>
  <c r="P122" i="3"/>
  <c r="Q121" i="3"/>
  <c r="P121" i="3"/>
  <c r="Q120" i="3"/>
  <c r="P120" i="3"/>
  <c r="Q119" i="3"/>
  <c r="P119" i="3"/>
  <c r="Q118" i="3"/>
  <c r="P118" i="3"/>
  <c r="Q117" i="3"/>
  <c r="P117" i="3"/>
  <c r="Q116" i="3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Q89" i="3"/>
  <c r="P89" i="3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Q81" i="3"/>
  <c r="P81" i="3"/>
  <c r="Q80" i="3"/>
  <c r="P80" i="3"/>
  <c r="Q79" i="3"/>
  <c r="P79" i="3"/>
  <c r="Q78" i="3"/>
  <c r="P78" i="3"/>
  <c r="Q77" i="3"/>
  <c r="P77" i="3"/>
  <c r="Q76" i="3"/>
  <c r="P76" i="3"/>
  <c r="Q75" i="3"/>
  <c r="P75" i="3"/>
  <c r="Q74" i="3"/>
  <c r="P74" i="3"/>
  <c r="Q73" i="3"/>
  <c r="P73" i="3"/>
  <c r="Q72" i="3"/>
  <c r="P72" i="3"/>
  <c r="Q71" i="3"/>
  <c r="P71" i="3"/>
  <c r="Q70" i="3"/>
  <c r="P70" i="3"/>
  <c r="Q69" i="3"/>
  <c r="P69" i="3"/>
  <c r="Q68" i="3"/>
  <c r="P68" i="3"/>
  <c r="Q67" i="3"/>
  <c r="P67" i="3"/>
  <c r="Q66" i="3"/>
  <c r="P66" i="3"/>
  <c r="Q65" i="3"/>
  <c r="P65" i="3"/>
  <c r="Q64" i="3"/>
  <c r="P64" i="3"/>
  <c r="Q63" i="3"/>
  <c r="P63" i="3"/>
  <c r="Q62" i="3"/>
  <c r="P62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Q7" i="3"/>
  <c r="P7" i="3"/>
  <c r="Q6" i="3"/>
  <c r="P6" i="3"/>
  <c r="Q5" i="3"/>
  <c r="P5" i="3"/>
  <c r="Q4" i="3"/>
  <c r="P4" i="3"/>
  <c r="Q3" i="3"/>
  <c r="P3" i="3"/>
  <c r="Q2" i="3"/>
  <c r="P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tc={3826215E-035B-439F-A8A6-148375AA3203}</author>
    <author>tc={078724F5-5465-4EEC-A879-E87337BD46D1}</author>
    <author>tc={F723DF05-6095-4A63-B328-EE029E69DD75}</author>
  </authors>
  <commentList>
    <comment ref="N18" authorId="0" shapeId="0" xr:uid="{3826215E-035B-439F-A8A6-148375AA32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License issues in FactSet
</t>
      </text>
    </comment>
    <comment ref="N46" authorId="1" shapeId="0" xr:uid="{078724F5-5465-4EEC-A879-E87337BD46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License issues in FactSet
</t>
      </text>
    </comment>
    <comment ref="N111" authorId="2" shapeId="0" xr:uid="{F723DF05-6095-4A63-B328-EE029E69DD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License issues in FactSet
</t>
      </text>
    </comment>
  </commentList>
</comments>
</file>

<file path=xl/sharedStrings.xml><?xml version="1.0" encoding="utf-8"?>
<sst xmlns="http://schemas.openxmlformats.org/spreadsheetml/2006/main" count="5556" uniqueCount="1376">
  <si>
    <t>Strategy_Name</t>
  </si>
  <si>
    <t>ID_Code</t>
  </si>
  <si>
    <t>Asset_Class</t>
  </si>
  <si>
    <t>PreMerge_BlendID</t>
  </si>
  <si>
    <t>MS_SAA_Name</t>
  </si>
  <si>
    <t>MS_PreMergeEnd_Date</t>
  </si>
  <si>
    <t>Strategy_Type</t>
  </si>
  <si>
    <t>Proxied</t>
  </si>
  <si>
    <t>InvestedID</t>
  </si>
  <si>
    <t>SAAisComposite</t>
  </si>
  <si>
    <t>MonitoringEndDate</t>
  </si>
  <si>
    <t>MonitoringStartDate</t>
  </si>
  <si>
    <t>MS_SAA_Licensed</t>
  </si>
  <si>
    <t>ExceptionSAA</t>
  </si>
  <si>
    <t>Currency</t>
  </si>
  <si>
    <t>360 One India</t>
  </si>
  <si>
    <t>LU2444715366</t>
  </si>
  <si>
    <t>Equity</t>
  </si>
  <si>
    <t>MS_RagSAA1</t>
  </si>
  <si>
    <t>MSCI India IMI</t>
  </si>
  <si>
    <t>TF</t>
  </si>
  <si>
    <t>Acadian European Equity</t>
  </si>
  <si>
    <t>MS_RagSAA2</t>
  </si>
  <si>
    <t>MSCI Europe</t>
  </si>
  <si>
    <t>Del</t>
  </si>
  <si>
    <t>AB Global Healthcare</t>
  </si>
  <si>
    <t>MS_RagSAA3</t>
  </si>
  <si>
    <t>MSCI World/Healthcare</t>
  </si>
  <si>
    <t>Alliance Bernstein Sustainable Global Thematic</t>
  </si>
  <si>
    <t>MS_RagSAA4</t>
  </si>
  <si>
    <t>MSCI ACWI</t>
  </si>
  <si>
    <t>Allianz Germany</t>
  </si>
  <si>
    <t>LU0840615578</t>
  </si>
  <si>
    <t>MS_RagSAA5</t>
  </si>
  <si>
    <t>MSCI Germany IMI</t>
  </si>
  <si>
    <t>Alma Eikoh Japan</t>
  </si>
  <si>
    <t>LU1870374508</t>
  </si>
  <si>
    <t>MS_RagSAA6</t>
  </si>
  <si>
    <t>MSCI Japan IMI</t>
  </si>
  <si>
    <t>AQR EM Enhanced Equity</t>
  </si>
  <si>
    <t>MS_RagSAA7</t>
  </si>
  <si>
    <t>MSCI EM</t>
  </si>
  <si>
    <t>AQR Global Enhanced Equity</t>
  </si>
  <si>
    <t>MS_RagSAA8</t>
  </si>
  <si>
    <t>MSCI World</t>
  </si>
  <si>
    <t>AQR Pacific Equity</t>
  </si>
  <si>
    <t>MS_RagSAA9</t>
  </si>
  <si>
    <t>MSCI AC Asia Pacific</t>
  </si>
  <si>
    <t>AQR US Enhanced Equity</t>
  </si>
  <si>
    <t>MS_RagSAA10</t>
  </si>
  <si>
    <t>MSCI USA</t>
  </si>
  <si>
    <t>Artisan Global Opportunities</t>
  </si>
  <si>
    <t>IE00B615T757</t>
  </si>
  <si>
    <t>MS_RagSAA11</t>
  </si>
  <si>
    <t>MSCI ACWI Growth</t>
  </si>
  <si>
    <t>Artisan Global Value</t>
  </si>
  <si>
    <t>IE00B4M6YD48</t>
  </si>
  <si>
    <t>MS_RagSAA12</t>
  </si>
  <si>
    <t>MSCI ACWI Value</t>
  </si>
  <si>
    <t>Atlas Global Infrastructure</t>
  </si>
  <si>
    <t>IE00BKTZQN06</t>
  </si>
  <si>
    <t>MS_RagSAA13</t>
  </si>
  <si>
    <t>50% FTSE Global Core 50/50 / 50% S&amp;P Global Infrastructure</t>
  </si>
  <si>
    <t>Axiom Concentrated Global Growth</t>
  </si>
  <si>
    <t>MS_RagSAA14</t>
  </si>
  <si>
    <t>Axiom Emerging Markets Equity</t>
  </si>
  <si>
    <t>MS_RagSAA15</t>
  </si>
  <si>
    <t>MSCI EM Growth</t>
  </si>
  <si>
    <t>Baillie Gifford Positive Change</t>
  </si>
  <si>
    <t>MS_RagSAA16</t>
  </si>
  <si>
    <t>Bin Yuan All China</t>
  </si>
  <si>
    <t>LU2200556392</t>
  </si>
  <si>
    <t>MS_RagSAA17</t>
  </si>
  <si>
    <t>50% MSCI China All Shares / 50% MSCI China All Shares Quality</t>
  </si>
  <si>
    <t>BlackRock Circular Economy</t>
  </si>
  <si>
    <t>LU2041044764</t>
  </si>
  <si>
    <t>MS_RagSAA18</t>
  </si>
  <si>
    <t>BlackRock Continental European Flexible</t>
  </si>
  <si>
    <t>LU1505937943</t>
  </si>
  <si>
    <t>MS_RagSAA19</t>
  </si>
  <si>
    <t>MSCI Europe ex UK Growth</t>
  </si>
  <si>
    <t>DJE GAMAX Junior</t>
  </si>
  <si>
    <t>MS_RagSAA20</t>
  </si>
  <si>
    <t>DJE GAMAX Junior SAA</t>
  </si>
  <si>
    <t>DWS German Equity</t>
  </si>
  <si>
    <t>MS_RagSAA21</t>
  </si>
  <si>
    <t>85% MSCI Germany / 15% MSCI Germany Small Cap</t>
  </si>
  <si>
    <t>Eagle Capital US Equity Value</t>
  </si>
  <si>
    <t>MS_RagSAA22</t>
  </si>
  <si>
    <t>Eleva Euroland</t>
  </si>
  <si>
    <t>LU1616921232</t>
  </si>
  <si>
    <t>MS_RagSAA23</t>
  </si>
  <si>
    <t>MSCI EMU</t>
  </si>
  <si>
    <t>LU1920212195</t>
  </si>
  <si>
    <t>Eleva European Select Equity Large-Cap</t>
  </si>
  <si>
    <t>MS_RagSAA24</t>
  </si>
  <si>
    <t>MSCI Europe Large Cap</t>
  </si>
  <si>
    <t>Eleva European Selection</t>
  </si>
  <si>
    <t>LU1920210579</t>
  </si>
  <si>
    <t>MS_RagSAA25</t>
  </si>
  <si>
    <t>Eleva SMID Equity</t>
  </si>
  <si>
    <t>LU1920216006</t>
  </si>
  <si>
    <t>MS_RagSAA26</t>
  </si>
  <si>
    <t>MSCI Europe Small Cap</t>
  </si>
  <si>
    <t>LU1920214647</t>
  </si>
  <si>
    <t>Exane Equity Select Europe</t>
  </si>
  <si>
    <t>LU1965304444</t>
  </si>
  <si>
    <t>MS_RagSAA27</t>
  </si>
  <si>
    <t>Fidelity Germany</t>
  </si>
  <si>
    <t>LU1968468162</t>
  </si>
  <si>
    <t>MS_RagSAA28</t>
  </si>
  <si>
    <t>Fidelity Global Consumer</t>
  </si>
  <si>
    <t>MS_RagSAA29</t>
  </si>
  <si>
    <t>MSCI World Weighted Blend Consumer Discretionary &amp; Consumer Staples (Cap Weighted) - Fidelity</t>
  </si>
  <si>
    <t>Fidelity Global Demographics</t>
  </si>
  <si>
    <t>MS_RagSAA30</t>
  </si>
  <si>
    <t>100% MSCI ACWI till 30/09/2024 then 25% MSCI World Healthcare / 20% MSCI ACWI Growth / 10% MSCI World Small Cap / 40% MSCI Europe / 5% MSCI EM</t>
  </si>
  <si>
    <t>First Sentier Global Infrastructure</t>
  </si>
  <si>
    <t>IE00BFY85J84</t>
  </si>
  <si>
    <t>MS_RagSAA31</t>
  </si>
  <si>
    <t>FTSE Global Core 50/50</t>
  </si>
  <si>
    <t>FountainCap China Opportunity</t>
  </si>
  <si>
    <t>MS_RagSAA32</t>
  </si>
  <si>
    <t>Franklin Technology</t>
  </si>
  <si>
    <t>LU0626261944</t>
  </si>
  <si>
    <t>MS_RagSAA33</t>
  </si>
  <si>
    <t>MSCI World/Information Technology</t>
  </si>
  <si>
    <t>GS All China Equity</t>
  </si>
  <si>
    <t>MS_RagSAA34</t>
  </si>
  <si>
    <t>MSCI China All Shares</t>
  </si>
  <si>
    <t>GS India</t>
  </si>
  <si>
    <t>MS_RagSAA35</t>
  </si>
  <si>
    <t>GuardCap Global Equity</t>
  </si>
  <si>
    <t>MS_RagSAA36</t>
  </si>
  <si>
    <t>75% MSCI World Quality / 25% MSCI World Low Volatility</t>
  </si>
  <si>
    <t>Hermes Global Emerging Markets Fund</t>
  </si>
  <si>
    <t>IE00B3DJ5M15</t>
  </si>
  <si>
    <t>MS_RagSAA37</t>
  </si>
  <si>
    <t>Impax Environmental Leaders</t>
  </si>
  <si>
    <t>MS_RagSAA38</t>
  </si>
  <si>
    <t>MSCI ACWI IMI</t>
  </si>
  <si>
    <t>JPM Europe Dynamic Small Cap</t>
  </si>
  <si>
    <t>MS_RagSAA39</t>
  </si>
  <si>
    <t>JPM Pacific Equity</t>
  </si>
  <si>
    <t>MS_RagSAA40</t>
  </si>
  <si>
    <t>MSCI AC Asia Pacific Growth</t>
  </si>
  <si>
    <t>JPM US Select</t>
  </si>
  <si>
    <t>MS_RagSAA41</t>
  </si>
  <si>
    <t>KBI Circular Economy</t>
  </si>
  <si>
    <t>MS_RagSAA42</t>
  </si>
  <si>
    <t>MSCI ACWI SMID</t>
  </si>
  <si>
    <t>KBI Global Energy Transition</t>
  </si>
  <si>
    <t>MS_RagSAA43</t>
  </si>
  <si>
    <t>WilderHill New Energy Global Innovation</t>
  </si>
  <si>
    <t>Lansdowne European Equity</t>
  </si>
  <si>
    <t>MS_RagSAA44</t>
  </si>
  <si>
    <t>Manulife India</t>
  </si>
  <si>
    <t>LU0869500495</t>
  </si>
  <si>
    <t>MS_RagSAA45</t>
  </si>
  <si>
    <t>Metropolis Global Value</t>
  </si>
  <si>
    <t>MS_RagSAA46</t>
  </si>
  <si>
    <t>Ninety One All China Equity</t>
  </si>
  <si>
    <t>LU1235249262</t>
  </si>
  <si>
    <t>MS_RagSAA47</t>
  </si>
  <si>
    <t xml:space="preserve">Ninety One Asia Opportunities </t>
  </si>
  <si>
    <t>LU1057489228</t>
  </si>
  <si>
    <t>MS_RagSAA48</t>
  </si>
  <si>
    <t>MSCI AC Asia Pacific ex Japan</t>
  </si>
  <si>
    <t>NZS Global Technology</t>
  </si>
  <si>
    <t>MS_RagSAA49</t>
  </si>
  <si>
    <t xml:space="preserve"> MSCI World Information Technology &amp; Communication Services Index to Feb 2023. From 02/02/2023 BM changed to 85% MSCI World Information Technology (10/40), 15% MSCI World Media &amp; Entertainmen</t>
  </si>
  <si>
    <t>ODDO Europe Avenir</t>
  </si>
  <si>
    <t>FR0000974149</t>
  </si>
  <si>
    <t>MS_RagSAA50</t>
  </si>
  <si>
    <t>MSCI Europe SMID Growth</t>
  </si>
  <si>
    <t>FR0014000DI1</t>
  </si>
  <si>
    <t>Pictet Circular Economy</t>
  </si>
  <si>
    <t>MS_RagSAA51</t>
  </si>
  <si>
    <t>Pictet Clean Energy</t>
  </si>
  <si>
    <t>MS_RagSAA52</t>
  </si>
  <si>
    <t>Pictet Nutrition</t>
  </si>
  <si>
    <t>MS_RagSAA53</t>
  </si>
  <si>
    <t>35% MSCI World Consumer Staples / 20% MSCI World Materials / 20% MSCI World Small Cap / 15% MSCI World Industrials / 10% MSCI World Healthcare</t>
  </si>
  <si>
    <t>PineStone Global Equity</t>
  </si>
  <si>
    <t>MS_RagSAA54</t>
  </si>
  <si>
    <t>MSCI ACWI Quality</t>
  </si>
  <si>
    <t>Pzena Global Value</t>
  </si>
  <si>
    <t>MS_RagSAA55</t>
  </si>
  <si>
    <t>MSCI World Enhanced Value</t>
  </si>
  <si>
    <t>Quoniam Pan European</t>
  </si>
  <si>
    <t>MS_RagSAA56</t>
  </si>
  <si>
    <t>Robeco Asia Pacific Equity</t>
  </si>
  <si>
    <t>LU1493701376</t>
  </si>
  <si>
    <t>MS_RagSAA57</t>
  </si>
  <si>
    <t>MSCI AC Asia Pacific Value</t>
  </si>
  <si>
    <t>Robeco Emerging Market Equities</t>
  </si>
  <si>
    <t>MS_RagSAA58</t>
  </si>
  <si>
    <t>Robeco Sustainable Global Stars</t>
  </si>
  <si>
    <t>MS_RagSAA59</t>
  </si>
  <si>
    <t>RWC Emerging Markets</t>
  </si>
  <si>
    <t>LU1802245560</t>
  </si>
  <si>
    <t>MS_RagSAA60</t>
  </si>
  <si>
    <t>50% MSCI EM IMI / 50% MSCI EM IMI Growth</t>
  </si>
  <si>
    <t>Sanders Capital Global Value</t>
  </si>
  <si>
    <t>MS_RagSAA61</t>
  </si>
  <si>
    <t>Sands Capital Emerging Markets Growth</t>
  </si>
  <si>
    <t>IE00BF21WN20</t>
  </si>
  <si>
    <t>MS_RagSAA62</t>
  </si>
  <si>
    <t>Sands Capital Global Growth</t>
  </si>
  <si>
    <t>MS_RagSAA63</t>
  </si>
  <si>
    <t>Schroders China Opportunities</t>
  </si>
  <si>
    <t>MS_RagSAA64</t>
  </si>
  <si>
    <t>Schroders Global Demographics</t>
  </si>
  <si>
    <t>MS_RagSAA65</t>
  </si>
  <si>
    <t>Schroders Global Energy Transition</t>
  </si>
  <si>
    <t>MS_RagSAA66</t>
  </si>
  <si>
    <t>50% MSCI Global Alternative Energy / 50% WilderHill New Energy Global Innovation</t>
  </si>
  <si>
    <t>Schroders Global Equity</t>
  </si>
  <si>
    <t>MS_RagSAA67</t>
  </si>
  <si>
    <t>SGA Global Emerging Market Equity</t>
  </si>
  <si>
    <t>MS_RagSAA68</t>
  </si>
  <si>
    <t>40% MSCI EM Min Vol / 30% MSCI EM / 30% MSCI EM Growth</t>
  </si>
  <si>
    <t>Tenax Financial Equity</t>
  </si>
  <si>
    <t>MS_RagSAA69</t>
  </si>
  <si>
    <t>MSCI World/Financials</t>
  </si>
  <si>
    <t>Trea Spain Equity</t>
  </si>
  <si>
    <t>MS_RagSAA70</t>
  </si>
  <si>
    <t>80% MSCI Spain 10/40 / 20% MSCI Spain Small Cap</t>
  </si>
  <si>
    <t>Wellington Enduring Assets</t>
  </si>
  <si>
    <t>IE00BNHQBY28</t>
  </si>
  <si>
    <t>MS_RagSAA71</t>
  </si>
  <si>
    <t xml:space="preserve">Wellington Energy Equity Evolution </t>
  </si>
  <si>
    <t>MS_RagSAA72</t>
  </si>
  <si>
    <t>MSCI World Weighted Blend Energy &amp; Utilities</t>
  </si>
  <si>
    <t>Wellington Financial Equity Evolution</t>
  </si>
  <si>
    <t>MS_RagSAA73</t>
  </si>
  <si>
    <t>Wellington Global Consumer</t>
  </si>
  <si>
    <t>MS_RagSAA74</t>
  </si>
  <si>
    <t>MSCI World Weighted Blend Consumer Discretionary &amp; Consumer Staples (Cap Weighted)</t>
  </si>
  <si>
    <t>Wellington Global Industrials/Materials</t>
  </si>
  <si>
    <t>MS_RagSAA75</t>
  </si>
  <si>
    <t>MSCI World Weighted Blend Industrials &amp; Materials</t>
  </si>
  <si>
    <t>Wellington Global Research Equity</t>
  </si>
  <si>
    <t>MS_RagSAA76</t>
  </si>
  <si>
    <t xml:space="preserve">Wellington Technology Equity Evolution </t>
  </si>
  <si>
    <t>MS_RagSAA77</t>
  </si>
  <si>
    <t>MSCI World Custom Technology</t>
  </si>
  <si>
    <t>Artisan EMD Opportunities</t>
  </si>
  <si>
    <t>IE0007LWGYY1</t>
  </si>
  <si>
    <t>Fixed Income</t>
  </si>
  <si>
    <t>MS_RagSAA78</t>
  </si>
  <si>
    <t>EUR</t>
  </si>
  <si>
    <t>Algebris Financial Income</t>
  </si>
  <si>
    <t>MS_RagSAA79</t>
  </si>
  <si>
    <t>15% MSCI World Financial Index local currencies (NDWLFNCL Index) perfectly hedged / 25% The BofA Merrill Lynch Contingent Capital Index EUR hedged (COCO Index) / 60%% ICE BofAML Euro Financial Index (EB00)</t>
  </si>
  <si>
    <t>Barings Emerging Markets Sovereign</t>
  </si>
  <si>
    <t>IE00BM99WQ17</t>
  </si>
  <si>
    <t>MS_RagSAA80</t>
  </si>
  <si>
    <t>JPM EMBI Global Diversified</t>
  </si>
  <si>
    <t>BlueBay Global IG Credit</t>
  </si>
  <si>
    <t>GFJQ</t>
  </si>
  <si>
    <t>MS_RagSAA81</t>
  </si>
  <si>
    <t>ICE BofA Global Corporate Index (G0BC)</t>
  </si>
  <si>
    <t>BlueBay IG Euro Aggregate</t>
  </si>
  <si>
    <t>LU0549545142</t>
  </si>
  <si>
    <t>MS_RagSAA82</t>
  </si>
  <si>
    <t>Bloomberg Euro Aggregate (EUR)</t>
  </si>
  <si>
    <t>BlueBay IG Euro Government</t>
  </si>
  <si>
    <t>MS_RagSAA83</t>
  </si>
  <si>
    <t>BlueBay IG Euro Aggregate Treasury (EUR)</t>
  </si>
  <si>
    <t>Brigade US High Yield</t>
  </si>
  <si>
    <t>MS_RagSAA84</t>
  </si>
  <si>
    <t>ICE US High Yield (JUC0) - USD</t>
  </si>
  <si>
    <t>Capital Four EUR High Yield</t>
  </si>
  <si>
    <t>GFJY</t>
  </si>
  <si>
    <t>MS_RagSAA85</t>
  </si>
  <si>
    <t>C4 Composite: ICE European Currency High Yield, then 31/03/2022 65% HPC0 / 34% JUC0</t>
  </si>
  <si>
    <t xml:space="preserve">Deutsche EHY </t>
  </si>
  <si>
    <t>MS_RagSAA86</t>
  </si>
  <si>
    <t>ICE European Currency High Yield Constrained (HPC0, EUR Unhedged)</t>
  </si>
  <si>
    <t>FvS Bond Opportunities</t>
  </si>
  <si>
    <t>LU0399027886</t>
  </si>
  <si>
    <t>MS_RagSAA87</t>
  </si>
  <si>
    <t>80% ICE Global Broad Markets EUR Hedged (GBMI) / 20% ICE Global HY Constrained EUR Hedged (HW0C)</t>
  </si>
  <si>
    <t>LU2212482017</t>
  </si>
  <si>
    <t>JPM US Aggregate Bond</t>
  </si>
  <si>
    <t>LU1727358514</t>
  </si>
  <si>
    <t>MS_RagSAA88</t>
  </si>
  <si>
    <t>ICE US Broad Market USD Unhedged - (US00)</t>
  </si>
  <si>
    <t>USD</t>
  </si>
  <si>
    <t>Jupiter Dynamic Bond</t>
  </si>
  <si>
    <t>LU0853555893</t>
  </si>
  <si>
    <t>MS_RagSAA89</t>
  </si>
  <si>
    <t>70% ICE Global Broad Markets EUR Unhedged (GBMI) / 30% Global HY Constrained EUR Unhedged (HW0C)</t>
  </si>
  <si>
    <t>MSIM Global Bond (CH Int Bond)</t>
  </si>
  <si>
    <t>MS_RagSAA90</t>
  </si>
  <si>
    <t>MSIM Global Bond (CH Int Bond) - SAA</t>
  </si>
  <si>
    <t>Trea 3G Credit Opportunities</t>
  </si>
  <si>
    <t>LU0629658435</t>
  </si>
  <si>
    <t>MS_RagSAA91</t>
  </si>
  <si>
    <t>75% BLOOMBERG EM USD AGG HY + 25% BLOOMBERG EM USD IG</t>
  </si>
  <si>
    <t>Neuberger Berman (Challenge Euro Income)</t>
  </si>
  <si>
    <t>MS_RagSAA92</t>
  </si>
  <si>
    <t>NB Euro Aggregate Treasury 1 - 3 Year (EUR)</t>
  </si>
  <si>
    <t>Neuberger Berman Emerging Market Debt Hard Currency</t>
  </si>
  <si>
    <t>MS_RagSAA93</t>
  </si>
  <si>
    <t>NB EMHC - SAA</t>
  </si>
  <si>
    <t>Neuberger Berman Emerging Market 50/50 Blend (GMB)</t>
  </si>
  <si>
    <t>GFJW</t>
  </si>
  <si>
    <t>MS_RagSAA94</t>
  </si>
  <si>
    <t>NB GMB - SAA</t>
  </si>
  <si>
    <t xml:space="preserve">PGIM Emerging Market Debt Corporates </t>
  </si>
  <si>
    <t>MS_RagSAA95</t>
  </si>
  <si>
    <t>PGIM EM Corporate - SAA</t>
  </si>
  <si>
    <t>PGIM Emerging Market Blend</t>
  </si>
  <si>
    <t>GFJX</t>
  </si>
  <si>
    <t>MS_RagSAA96</t>
  </si>
  <si>
    <t>PGIM EM Blend - SAA</t>
  </si>
  <si>
    <t>PGIM Emerging Market Local Currency</t>
  </si>
  <si>
    <t>MS_RagSAA97</t>
  </si>
  <si>
    <t>Splice JPM GBI-EM Global Diversified / ICE Diversified Emerging Markets Sovereign Bond (USD)</t>
  </si>
  <si>
    <t>Lazard Convertible Global</t>
  </si>
  <si>
    <t>FR0013429446</t>
  </si>
  <si>
    <t>MS_RagSAA98</t>
  </si>
  <si>
    <t>Refinitiv Global Focus Hgd CB TR USD</t>
  </si>
  <si>
    <t>Lazard Global Convertibles Recovery Fund</t>
  </si>
  <si>
    <t>IE00BMWVYP76</t>
  </si>
  <si>
    <t>MS_RagSAA99</t>
  </si>
  <si>
    <t>UBS Lux Bond SICAV - Convert Global EUR</t>
  </si>
  <si>
    <t>LU0396332214</t>
  </si>
  <si>
    <t>MS_RagSAA100</t>
  </si>
  <si>
    <t>Refinitiv Gbl Vanilla Hgd CB TR EUR</t>
  </si>
  <si>
    <t>Muzinich Dynamic Credit Income</t>
  </si>
  <si>
    <t>IE00027GCDQ6</t>
  </si>
  <si>
    <t>MS_RagSAA101</t>
  </si>
  <si>
    <t>70% ICE BB-B Global High Yield - HW40 / 30% ICE BBB Global Corporate - GBC4</t>
  </si>
  <si>
    <t>MSIM Short Duration Global Bond (CH Int Income)</t>
  </si>
  <si>
    <t>MS_RagSAA102</t>
  </si>
  <si>
    <t>MSIM Short Duration Global Bond (CH Int Income) - SAA</t>
  </si>
  <si>
    <t>PGIM Emerging Market Hard Currency Debt Fund</t>
  </si>
  <si>
    <t>IE00BZCG7W10</t>
  </si>
  <si>
    <t>MS_RagSAA103</t>
  </si>
  <si>
    <t>JPM EMBI Global Diversified (USD)</t>
  </si>
  <si>
    <t>MSIM Global Sustainable Bond</t>
  </si>
  <si>
    <t>MS_RagSAA104</t>
  </si>
  <si>
    <t>MSIM Global Sustainable Bond - SAA</t>
  </si>
  <si>
    <t>Mesirow US High Yield</t>
  </si>
  <si>
    <t>MS_RagSAA105</t>
  </si>
  <si>
    <t>70% ICE US High Yield USD Unhedged (JUC0) / 30% ICE US Small Cap High Yield USD Unhedged (JSML)</t>
  </si>
  <si>
    <t>Oak Hill US High Yield</t>
  </si>
  <si>
    <t>MS_RagSAA106</t>
  </si>
  <si>
    <t>Stewart Worldwide Sustainability</t>
  </si>
  <si>
    <t>MS_RagSAA107</t>
  </si>
  <si>
    <t>50% MSCI ACWI Quality / 50% MSCI ACWI Min Vol</t>
  </si>
  <si>
    <t>Robeco Green Buildings</t>
  </si>
  <si>
    <t>MS_RagSAA108</t>
  </si>
  <si>
    <t>Robeco Green Buildings - SAA</t>
  </si>
  <si>
    <t>Schroders Green Buildings</t>
  </si>
  <si>
    <t>MS_RagSAA109</t>
  </si>
  <si>
    <t>Schroders Green Buildings - SAA</t>
  </si>
  <si>
    <t>Fidelity Global Industrials/Materials</t>
  </si>
  <si>
    <t>MS_RagSAA110</t>
  </si>
  <si>
    <t>BlueBox Global Technology</t>
  </si>
  <si>
    <t>MS_RagSAA111</t>
  </si>
  <si>
    <t>BlueBox Technology - SAA</t>
  </si>
  <si>
    <t>MAN GLG European High Yield Opportunities</t>
  </si>
  <si>
    <t>GFJ9</t>
  </si>
  <si>
    <t>MS_RagSAA112</t>
  </si>
  <si>
    <t>MAN GLG European High Yield - SAA</t>
  </si>
  <si>
    <t>BlackRock World Energy</t>
  </si>
  <si>
    <t>MS_RagSAA113</t>
  </si>
  <si>
    <t>MSCI World Energy 10/40</t>
  </si>
  <si>
    <t>ARGA Global Equity</t>
  </si>
  <si>
    <t>MS_RagSAA114</t>
  </si>
  <si>
    <t>MSCI ACWI Enhanced Value</t>
  </si>
  <si>
    <t>FSSA China Growth</t>
  </si>
  <si>
    <t>IE00BYXW3909</t>
  </si>
  <si>
    <t>MS_RagSAA115</t>
  </si>
  <si>
    <t>Advent Global Balanced Convertible</t>
  </si>
  <si>
    <t>MS_RagSAA116</t>
  </si>
  <si>
    <t>Zazove Global Convertible</t>
  </si>
  <si>
    <t>MS_RagSAA117</t>
  </si>
  <si>
    <t>TARGET_FUND_ID</t>
  </si>
  <si>
    <t>TARGET_FUND_INSTRUMENT_ID</t>
  </si>
  <si>
    <t>MANAGER_ORGANISATION_ID</t>
  </si>
  <si>
    <t>TARGET_FUND_NAME</t>
  </si>
  <si>
    <t>ISIN_INSTRUMENT_REFERENCE</t>
  </si>
  <si>
    <t>BLOOMBERG_INSTRUMENT_REFERENCE</t>
  </si>
  <si>
    <t>HEDGED_INDICATOR</t>
  </si>
  <si>
    <t>CURRENCY_ID</t>
  </si>
  <si>
    <t>CREATED_DATETIME</t>
  </si>
  <si>
    <t>UPDATED_DATETIME</t>
  </si>
  <si>
    <t>CREATED_BY_USER</t>
  </si>
  <si>
    <t>UPDATED_BY_USER</t>
  </si>
  <si>
    <t>BGF-CONT EUR FLX-I4 EUR</t>
  </si>
  <si>
    <t>BBG00F0FKNN4</t>
  </si>
  <si>
    <t>N</t>
  </si>
  <si>
    <t>Unknown</t>
  </si>
  <si>
    <t>BLUEBAY INV GR EU AG B-Q EUR</t>
  </si>
  <si>
    <t>LU1170327289</t>
  </si>
  <si>
    <t>BBG00CGLS776</t>
  </si>
  <si>
    <t>ALLIANZ THEMATICA-WT EUR A</t>
  </si>
  <si>
    <t>LU2106854214</t>
  </si>
  <si>
    <t>BBG00RKBXW06</t>
  </si>
  <si>
    <t>MRG ST IF-SH MAT EU BD-ZE</t>
  </si>
  <si>
    <t>LU0360478795</t>
  </si>
  <si>
    <t>BBG000C4LYZ1</t>
  </si>
  <si>
    <t>MU-GL TAC CR-H EUR ACC G2 UN</t>
  </si>
  <si>
    <t>IE00BKSKL532</t>
  </si>
  <si>
    <t>BBG00RMFXX49</t>
  </si>
  <si>
    <t>DWS- INVEST- EU H YL CP-RDQ</t>
  </si>
  <si>
    <t>LU1808738642</t>
  </si>
  <si>
    <t>BBG00L4K30S0</t>
  </si>
  <si>
    <t>AB SICAV I-INTL HLT CR-S1EPC</t>
  </si>
  <si>
    <t>LU0260062871</t>
  </si>
  <si>
    <t>BBG00PZZQKQ7</t>
  </si>
  <si>
    <t>MSIF-GLOBAL OPPORT-ZH1 EUR</t>
  </si>
  <si>
    <t>LU2646745732</t>
  </si>
  <si>
    <t>BBG01HCV83F8</t>
  </si>
  <si>
    <t>JUPITER JGF DY B FD-I EUR A</t>
  </si>
  <si>
    <t>BBG003NXFNJ8</t>
  </si>
  <si>
    <t>PGIM E/M HRD CUR DB-IDIS</t>
  </si>
  <si>
    <t>IE000VNQZC87</t>
  </si>
  <si>
    <t>BBG013V235H0</t>
  </si>
  <si>
    <t>BLUEBAY INV GR EUR AGG BD-I</t>
  </si>
  <si>
    <t>BBG0018YWBM0</t>
  </si>
  <si>
    <t>CARMIGNAC EMERGENTS-A EUR AC</t>
  </si>
  <si>
    <t>FR0010149302</t>
  </si>
  <si>
    <t>BBG000C0P7T1</t>
  </si>
  <si>
    <t>NORDEA 1 NTH AM H Y BD-MXEUR</t>
  </si>
  <si>
    <t>LU1009728244</t>
  </si>
  <si>
    <t>BBG00JRTYVV5</t>
  </si>
  <si>
    <t>ROBECO SUS GL ST EQ FD-ILEUR</t>
  </si>
  <si>
    <t>LU1408525894</t>
  </si>
  <si>
    <t>BBG00CX8GRC9</t>
  </si>
  <si>
    <t>EXANE FUND 1-INTEGRALE-S</t>
  </si>
  <si>
    <t>LU1733196908</t>
  </si>
  <si>
    <t>EQ0000000061251819</t>
  </si>
  <si>
    <t>MUZIH DYN CRIT INE FD-HFUEA</t>
  </si>
  <si>
    <t>IE000DJC2868</t>
  </si>
  <si>
    <t>BBG0172Q7HR9</t>
  </si>
  <si>
    <t>INVESCO GLOBAL EQ INC-IEUMD1</t>
  </si>
  <si>
    <t>LU2579942876</t>
  </si>
  <si>
    <t>BBG01CGCPF89</t>
  </si>
  <si>
    <t>MSIF-GLB BRNDS FD-ZH1 EUR</t>
  </si>
  <si>
    <t>LU2646745815</t>
  </si>
  <si>
    <t>BBG01HCV83D0</t>
  </si>
  <si>
    <t>WELL ENDUR ASSET F-S A1 DIEU</t>
  </si>
  <si>
    <t>BBG00Y28HMP1</t>
  </si>
  <si>
    <t>91GSF-APEO-I ACC EUR</t>
  </si>
  <si>
    <t>BBG006D9Y4B4</t>
  </si>
  <si>
    <t>GUARDCAP GLOBAL EQUITY-I EUR</t>
  </si>
  <si>
    <t>IE00BZ036616</t>
  </si>
  <si>
    <t>BBG00BBJ3551</t>
  </si>
  <si>
    <t>1ST SENTIER GL LST INFR-VIE</t>
  </si>
  <si>
    <t>BBG00N6VMGJ4</t>
  </si>
  <si>
    <t>FIDELITY-EM LOC CU DB-YA EUR</t>
  </si>
  <si>
    <t>LU0900495184</t>
  </si>
  <si>
    <t>BBG004DDM2Q1</t>
  </si>
  <si>
    <t>ATLAS GLOBAL INFRASTRU-B EUR</t>
  </si>
  <si>
    <t>BBG00RRT6BX0</t>
  </si>
  <si>
    <t>CARMIGNAC PTF-EM DBT-A EURAC</t>
  </si>
  <si>
    <t>LU1623763221</t>
  </si>
  <si>
    <t>BBG00GZT0Y52</t>
  </si>
  <si>
    <t>ARTISAN-GLOBAL OPP-IEACC</t>
  </si>
  <si>
    <t>IE00B5T1R961</t>
  </si>
  <si>
    <t>BBG0020BM345</t>
  </si>
  <si>
    <t>SUST GLB THEM - S1 EUR</t>
  </si>
  <si>
    <t>LU0462791236</t>
  </si>
  <si>
    <t>BBG000SJ6QH5</t>
  </si>
  <si>
    <t>FLOSSBACH STORCH BD OP-XTEUR</t>
  </si>
  <si>
    <t>BBG00X282G36</t>
  </si>
  <si>
    <t>POLEN FOC US GROWT-DIEURUH</t>
  </si>
  <si>
    <t>IE00BG0RDG93</t>
  </si>
  <si>
    <t>BBG00N1ZYB80</t>
  </si>
  <si>
    <t>NORDEA 1-INDIAN EQUY-X EUR</t>
  </si>
  <si>
    <t>BBG019RV6TB9</t>
  </si>
  <si>
    <t>KEMPEN GBL HIGH DIV NV KL N</t>
  </si>
  <si>
    <t>NL0006089229</t>
  </si>
  <si>
    <t>BBG000TVVFZ3</t>
  </si>
  <si>
    <t>INVESCO-ASIA EQ-I EUR ACC</t>
  </si>
  <si>
    <t>LU2579942959</t>
  </si>
  <si>
    <t>BBG01CGCPF61</t>
  </si>
  <si>
    <t>FIDELITY-AS P M/A GR-AQIGEUH</t>
  </si>
  <si>
    <t>LU1846738869</t>
  </si>
  <si>
    <t>BBG00LCT48Z6</t>
  </si>
  <si>
    <t>FOUNTAINCAP GR CHIN SEL-IEA</t>
  </si>
  <si>
    <t>IE0005I8TG96</t>
  </si>
  <si>
    <t>BBG01G6W2HP9</t>
  </si>
  <si>
    <t>ELEVA EUROPEAN SEL-H1EURDIS</t>
  </si>
  <si>
    <t>LU1920210652</t>
  </si>
  <si>
    <t>BBG00NZLQRR7</t>
  </si>
  <si>
    <t>CARMIGNAC INVESTISS-A EU AC</t>
  </si>
  <si>
    <t>FR0010148981</t>
  </si>
  <si>
    <t>BBG000C0P5N1</t>
  </si>
  <si>
    <t>BGF-CIRCULAR ECONOMY-I2 EUR</t>
  </si>
  <si>
    <t>BBG00Q4VWXH3</t>
  </si>
  <si>
    <t>ALLIANZ GERMAN EQUITY-IT</t>
  </si>
  <si>
    <t>BBG003H4K575</t>
  </si>
  <si>
    <t>CARMGNC LNG SH EU EQ-AEURA</t>
  </si>
  <si>
    <t>FR0010149179</t>
  </si>
  <si>
    <t>EQ0020723100060000</t>
  </si>
  <si>
    <t>FIDELITY FNDS-IBERIA-I ACCE</t>
  </si>
  <si>
    <t>LU1417855837</t>
  </si>
  <si>
    <t>BBG00D0FT4L4</t>
  </si>
  <si>
    <t>SANDS CAP EMER MKT GW-AEURA</t>
  </si>
  <si>
    <t>BBG00M0TF7D1</t>
  </si>
  <si>
    <t>INVESCO EUR CRP BD-IMD</t>
  </si>
  <si>
    <t>LU1720677191</t>
  </si>
  <si>
    <t>BBG00J7K6214</t>
  </si>
  <si>
    <t>BLUEBAY INV GR EU AG B-IEURQ</t>
  </si>
  <si>
    <t>LU1750348465</t>
  </si>
  <si>
    <t>BBG00K53C7R5</t>
  </si>
  <si>
    <t>RW GLOBAL EMERG MKT-S EUR A</t>
  </si>
  <si>
    <t>BBG00KG3H0P5</t>
  </si>
  <si>
    <t>WELL GLOB INNOVATION-S EUR</t>
  </si>
  <si>
    <t>LU2008325669</t>
  </si>
  <si>
    <t>BBG00PF3Z4L1</t>
  </si>
  <si>
    <t>BAILLIE GIF W HLTH IN-EURB A</t>
  </si>
  <si>
    <t>IE00BGGJJB67</t>
  </si>
  <si>
    <t>BBG00LV0TRR8</t>
  </si>
  <si>
    <t>INVESCO EMER MKT EQ-IEA</t>
  </si>
  <si>
    <t>LU2579943171</t>
  </si>
  <si>
    <t>BBG01CGCPF52</t>
  </si>
  <si>
    <t>FIDELITY-GER FND-IACCEUR</t>
  </si>
  <si>
    <t>BBG00NPH08V2</t>
  </si>
  <si>
    <t>ACADIAN SUS EUR EQ-C2IEUR</t>
  </si>
  <si>
    <t>IE0000AQF1T2</t>
  </si>
  <si>
    <t>BBG01GS61VW4</t>
  </si>
  <si>
    <t>FIDELITY FDS-EMERG ASIA-AE</t>
  </si>
  <si>
    <t>LU0329678253</t>
  </si>
  <si>
    <t>BBG000VGRZJ2</t>
  </si>
  <si>
    <t>CARMIGNAC PF G-EURP-A EUR AC</t>
  </si>
  <si>
    <t>LU0099161993</t>
  </si>
  <si>
    <t>BBG000BMDDK3</t>
  </si>
  <si>
    <t>ELEVA EUROPEAN SEL-H1ACC EUR</t>
  </si>
  <si>
    <t>BBG00N5QN4P5</t>
  </si>
  <si>
    <t>MEDIOLANUM FONDCUENTA-E</t>
  </si>
  <si>
    <t>ES0138816006</t>
  </si>
  <si>
    <t>BBG00C80X123</t>
  </si>
  <si>
    <t>EXANE EQUITY SELECT EUROPE-J</t>
  </si>
  <si>
    <t>BBG00NWYF8H7</t>
  </si>
  <si>
    <t>ROBECO EMERGING MKT EQY-IEUR</t>
  </si>
  <si>
    <t>LU0209325462</t>
  </si>
  <si>
    <t>BBG000HJ9KH7</t>
  </si>
  <si>
    <t>CARM PORT-INVSTIS-AEURACCAP</t>
  </si>
  <si>
    <t>LU1299311164</t>
  </si>
  <si>
    <t>BBG00BDD5W88</t>
  </si>
  <si>
    <t>ROBECO HIGH YIELDS BONDS-IEH</t>
  </si>
  <si>
    <t>LU0779184851</t>
  </si>
  <si>
    <t>BBG00341JGD6</t>
  </si>
  <si>
    <t>CARMIGNAC PF-GLB BD-A EURACC</t>
  </si>
  <si>
    <t>LU0336083497</t>
  </si>
  <si>
    <t>BBG000V9QY66</t>
  </si>
  <si>
    <t>BARINGS EMKT SOV D-TR Y UG E</t>
  </si>
  <si>
    <t>BBG00XWYR9V4</t>
  </si>
  <si>
    <t>ARTISAN GLOBL VALUE FND-IEUR</t>
  </si>
  <si>
    <t>BBG00BJTY076</t>
  </si>
  <si>
    <t>FD HR GL EMER MKT-F EUR ACC</t>
  </si>
  <si>
    <t>BBG0060K4N15</t>
  </si>
  <si>
    <t>RW GLOBALEQT INCOME-B EUR I</t>
  </si>
  <si>
    <t>LU2240803283</t>
  </si>
  <si>
    <t>BBG00XRGYDJ6</t>
  </si>
  <si>
    <t>UBS CONVERT GLOBAL EUR-IA3D</t>
  </si>
  <si>
    <t>BBG004M18LY2</t>
  </si>
  <si>
    <t>MUZINICH-GLOB TAC CR-EURACCH</t>
  </si>
  <si>
    <t>IE00BSZLQL65</t>
  </si>
  <si>
    <t>BBG007SRYX59</t>
  </si>
  <si>
    <t>MU-GL TAC CR-H EUR INC G2 UN</t>
  </si>
  <si>
    <t>IE00BKSKL649</t>
  </si>
  <si>
    <t>BBG00RMZ8QK0</t>
  </si>
  <si>
    <t>ODDO BHF AVENIR EUR-CMEUR</t>
  </si>
  <si>
    <t>BBG00YM2V9T1</t>
  </si>
  <si>
    <t>INVESCO GLB TR EUR-I FMD</t>
  </si>
  <si>
    <t>LU1934329480</t>
  </si>
  <si>
    <t>BBG00N55HBF3</t>
  </si>
  <si>
    <t>FIDELITY FDS-ASIA P OP-YEUR</t>
  </si>
  <si>
    <t>LU1968466208</t>
  </si>
  <si>
    <t>BBG00NPGZVD5</t>
  </si>
  <si>
    <t>COMGEST GROWTH JPN-EUR I ACC</t>
  </si>
  <si>
    <t>IE00BZ0RSN48</t>
  </si>
  <si>
    <t>BBG00BM3C652</t>
  </si>
  <si>
    <t>ARTISAN-GLOBAL OPP-IEURDIS</t>
  </si>
  <si>
    <t>IE000HEVZDF1</t>
  </si>
  <si>
    <t>BBG01GJ3QNK5</t>
  </si>
  <si>
    <t>FF SUSTAINABLE ASIA EQUITY-I</t>
  </si>
  <si>
    <t>LU1400167562</t>
  </si>
  <si>
    <t>BBG00CSKDLF1</t>
  </si>
  <si>
    <t>ELEVA LDRS SM&amp;MD CE-H1 EUR A</t>
  </si>
  <si>
    <t>BBG00X032HG3</t>
  </si>
  <si>
    <t>CARMIGNAC PATRIMOINE-A EUR A</t>
  </si>
  <si>
    <t>FR0010135103</t>
  </si>
  <si>
    <t>BBG000BKTHZ5</t>
  </si>
  <si>
    <t>ARTIS EMR DEBT OPP FD- I EUR</t>
  </si>
  <si>
    <t>BBG01F5K08P0</t>
  </si>
  <si>
    <t>PZENA GLOBAL VALUE FD-A EUR</t>
  </si>
  <si>
    <t>IE00BD5V3T87</t>
  </si>
  <si>
    <t>BBG00G24CSZ0</t>
  </si>
  <si>
    <t>ELEVA EUROLAND SE-H1 EUR ACC</t>
  </si>
  <si>
    <t>BBG00NNFSVV7</t>
  </si>
  <si>
    <t>ROBECO ASIA PAC EQ-I ACC EUR</t>
  </si>
  <si>
    <t>BBG00DVQH153</t>
  </si>
  <si>
    <t>TREA EM MRKT CR OPP-E</t>
  </si>
  <si>
    <t>LU0629658609</t>
  </si>
  <si>
    <t>BBG001RWTTB0</t>
  </si>
  <si>
    <t>ALMA CAP-AL EI JP LCE-IEURC</t>
  </si>
  <si>
    <t>BBG00LSZM554</t>
  </si>
  <si>
    <t>CARMIGNAC PORT FLX BD-AEURA</t>
  </si>
  <si>
    <t>LU0336084032</t>
  </si>
  <si>
    <t>BBG000V9RJ31</t>
  </si>
  <si>
    <t>MSIF-EUROPE OPP-Z EUR</t>
  </si>
  <si>
    <t>LU1387591727</t>
  </si>
  <si>
    <t>BBG00CL731L5</t>
  </si>
  <si>
    <t>SCHRDER INTSEL SUS EC-I EUR</t>
  </si>
  <si>
    <t>LU2080995744</t>
  </si>
  <si>
    <t>BBG00R4P4H44</t>
  </si>
  <si>
    <t>ALMA CAP-AL EI JP LCE-IEURD</t>
  </si>
  <si>
    <t>LU1870374920</t>
  </si>
  <si>
    <t>BBG00LSZM7H7</t>
  </si>
  <si>
    <t>FLOSSBACH STORCH BD OP-X EUR</t>
  </si>
  <si>
    <t>LU2212481985</t>
  </si>
  <si>
    <t>BBG00X282G45</t>
  </si>
  <si>
    <t>EAGLE CAP US EQY VAL-REURACC</t>
  </si>
  <si>
    <t>IE0007IS4MD4</t>
  </si>
  <si>
    <t>BBG016C5BBP6</t>
  </si>
  <si>
    <t>CARM PORT-PATRIMON-AEURACCAP</t>
  </si>
  <si>
    <t>LU1299305190</t>
  </si>
  <si>
    <t>BBG00BDD95Z3</t>
  </si>
  <si>
    <t>SCHRODER ISF EURO HIGH YD-I</t>
  </si>
  <si>
    <t>LU0849400386</t>
  </si>
  <si>
    <t>BBG003NJPXJ6</t>
  </si>
  <si>
    <t>INVESCO PAN EUR EQ-IEURACC</t>
  </si>
  <si>
    <t>LU2469448570</t>
  </si>
  <si>
    <t>BBG0171VGC63</t>
  </si>
  <si>
    <t>INV JPN EQ ADV-I EUR ACC</t>
  </si>
  <si>
    <t>LU2579942520</t>
  </si>
  <si>
    <t>BBG01CGCPF25</t>
  </si>
  <si>
    <t>INVESCO PAN EUR HI INCOM-I M</t>
  </si>
  <si>
    <t>LU2488134078</t>
  </si>
  <si>
    <t>BBG017YVG2J5</t>
  </si>
  <si>
    <t>SISF - SUS GL CRIN SH DU-IEU</t>
  </si>
  <si>
    <t>LU1910164919</t>
  </si>
  <si>
    <t>BBG00QXR8RW3</t>
  </si>
  <si>
    <t>GLG EURO HIGH YIELD OPPS CL IU EUR</t>
  </si>
  <si>
    <t>IE000AFYAP11</t>
  </si>
  <si>
    <t>BBG01MRQMJP0</t>
  </si>
  <si>
    <t>SCHRDER INTSEL SUS EC-IZ EUR</t>
  </si>
  <si>
    <t>LU2080996049</t>
  </si>
  <si>
    <t>BBG00R4P4H35</t>
  </si>
  <si>
    <t>TROJAN GLOBAL INCOME-O INC</t>
  </si>
  <si>
    <t>GB00BD82KQ40</t>
  </si>
  <si>
    <t>BBG00DZHS264</t>
  </si>
  <si>
    <t>KEMPEN INTL-GLB HIGH DVD-J</t>
  </si>
  <si>
    <t>LU0864388870</t>
  </si>
  <si>
    <t>BBG003QTRP06</t>
  </si>
  <si>
    <t>FIDELITY FDS-JPN GROWT-YAJPY</t>
  </si>
  <si>
    <t>LU1060955660</t>
  </si>
  <si>
    <t>BBG006F3FL28</t>
  </si>
  <si>
    <t>FIDELITY FUND-CHINA FO-Y USD</t>
  </si>
  <si>
    <t>LU0936576080</t>
  </si>
  <si>
    <t>BBG0059471K8</t>
  </si>
  <si>
    <t>MORGAN ST-US GROWTH FD-Z</t>
  </si>
  <si>
    <t>LU0360477805</t>
  </si>
  <si>
    <t>BBG000R9MDW2</t>
  </si>
  <si>
    <t>MSIF-GLOBAL SUSTAIN-Z</t>
  </si>
  <si>
    <t>LU1842711688</t>
  </si>
  <si>
    <t>BBG00L7LYFH0</t>
  </si>
  <si>
    <t>LAZARD GLB CNVTBL RC-A USDH</t>
  </si>
  <si>
    <t>BBG00WDRT3R8</t>
  </si>
  <si>
    <t>PGIM-BM US HY BOND-USD I D</t>
  </si>
  <si>
    <t>IE00BJ4LDS04</t>
  </si>
  <si>
    <t>BBG00QL5WSG3</t>
  </si>
  <si>
    <t>PGIM EMER MKT HRD CU DB-IUSA</t>
  </si>
  <si>
    <t>BBG00DWT9TZ1</t>
  </si>
  <si>
    <t>SISF-EMG MAR EQ IM-IUSD</t>
  </si>
  <si>
    <t>LU2347500543</t>
  </si>
  <si>
    <t>BBG011CG66K5</t>
  </si>
  <si>
    <t>FIDELITY-ASIA HI YD-I MID US</t>
  </si>
  <si>
    <t>LU1235294300</t>
  </si>
  <si>
    <t>BBG009BJYVJ0</t>
  </si>
  <si>
    <t>LAZARD CONVRTBL GLBL-ICHUSD</t>
  </si>
  <si>
    <t>BBG00PNLM597</t>
  </si>
  <si>
    <t>GUARDCAP GLOBAL EQ-IUSDDI</t>
  </si>
  <si>
    <t>IE00BDQYWP58</t>
  </si>
  <si>
    <t>BBG00LPTKTS6</t>
  </si>
  <si>
    <t>SCHRODER GB ENERGY TRA-I</t>
  </si>
  <si>
    <t>LU2016063815</t>
  </si>
  <si>
    <t>BBG00PNC2688</t>
  </si>
  <si>
    <t>MORGAN ST EMERG LEAD EQ-Z</t>
  </si>
  <si>
    <t>LU0815264279</t>
  </si>
  <si>
    <t>BBG00395L7H5</t>
  </si>
  <si>
    <t>TREA EM MRKT CR OPP-CUSDR</t>
  </si>
  <si>
    <t>BBG001VJ6RR6</t>
  </si>
  <si>
    <t>PZENA GLOBAL VALUE FD-A USDD</t>
  </si>
  <si>
    <t>IE00BF5FSX39</t>
  </si>
  <si>
    <t>BBG00KB2SHS0</t>
  </si>
  <si>
    <t>FIDELITY-USD CASH-Y ACC USD</t>
  </si>
  <si>
    <t>LU0346392565</t>
  </si>
  <si>
    <t>EQ0000000005887809</t>
  </si>
  <si>
    <t>SCHRODER GAIA CAT BD-I USD</t>
  </si>
  <si>
    <t>LU0951570760</t>
  </si>
  <si>
    <t>BBG005DX57Y3</t>
  </si>
  <si>
    <t>SISF-BLUEORCH EM MKT CL-IUSD</t>
  </si>
  <si>
    <t>LU2328267039</t>
  </si>
  <si>
    <t>BBG011031HF4</t>
  </si>
  <si>
    <t>91GSF-AL CHINA EQ-IACC USD</t>
  </si>
  <si>
    <t>BBG008TMP923</t>
  </si>
  <si>
    <t>JPM US AGGREGATE BD-I2</t>
  </si>
  <si>
    <t>BBG00K2F7877</t>
  </si>
  <si>
    <t>SCHR ISF-GBL SST F&amp;W-I</t>
  </si>
  <si>
    <t>LU2380233788</t>
  </si>
  <si>
    <t>BBG012CFTZX2</t>
  </si>
  <si>
    <t>MORGAN ST INV F-GLB BRNDS-Z</t>
  </si>
  <si>
    <t>LU0360482987</t>
  </si>
  <si>
    <t>BBG000BDJLN6</t>
  </si>
  <si>
    <t>JPM INV-JPM US SEL EQ-II USD</t>
  </si>
  <si>
    <t>LU0973649071</t>
  </si>
  <si>
    <t>BBG005DZM984</t>
  </si>
  <si>
    <t>MUZIH DYN CRIT INE FD-HFUUSA</t>
  </si>
  <si>
    <t>BBG0172Q7HD4</t>
  </si>
  <si>
    <t>PZENA GLB FCS VALUE-A USD</t>
  </si>
  <si>
    <t>IE00B0S5SL34</t>
  </si>
  <si>
    <t>BBG002ZR9409</t>
  </si>
  <si>
    <t>SISF-GLB CONVERT BD-C USD QV</t>
  </si>
  <si>
    <t>LU0935022649</t>
  </si>
  <si>
    <t>BBG004LZSMQ3</t>
  </si>
  <si>
    <t>HRFDS-360 ONE FCSD IND-B1USD</t>
  </si>
  <si>
    <t>BBG01H6XCCV8</t>
  </si>
  <si>
    <t>HEREFORD-BIN YUAN GRC-DI A U</t>
  </si>
  <si>
    <t>BBG00XRGSZR5</t>
  </si>
  <si>
    <t>MORGAN ST-US ADVANTAGE-ZUSD</t>
  </si>
  <si>
    <t>LU0360484686</t>
  </si>
  <si>
    <t>BBG000TD17Y5</t>
  </si>
  <si>
    <t>FIDELITY-CHINA CONSUMR-IAUSD</t>
  </si>
  <si>
    <t>LU1148194506</t>
  </si>
  <si>
    <t>BBG007VJKDL4</t>
  </si>
  <si>
    <t>MS INVF-GLOBAL QUALITY-Z</t>
  </si>
  <si>
    <t>LU0955011258</t>
  </si>
  <si>
    <t>BBG004X9ZTJ3</t>
  </si>
  <si>
    <t>FID FNDS-GL DEMO-IACCUSD</t>
  </si>
  <si>
    <t>LU1961889323</t>
  </si>
  <si>
    <t>BBG00NKB7RY8</t>
  </si>
  <si>
    <t>MORGAN ST INV F-EMG MK EQ-Z</t>
  </si>
  <si>
    <t>LU0360480858</t>
  </si>
  <si>
    <t>BBG000C4LDG8</t>
  </si>
  <si>
    <t>FIDELITY-ASIA PA-AMING USD</t>
  </si>
  <si>
    <t>LU0877626530</t>
  </si>
  <si>
    <t>BBG00424TB86</t>
  </si>
  <si>
    <t>SCHR ISF-GBL SST VAL-IUSDACC</t>
  </si>
  <si>
    <t>LU2405385985</t>
  </si>
  <si>
    <t>BBG013HMZS69</t>
  </si>
  <si>
    <t>ARTISAN-GLOBAL OPP-I- USD-AC</t>
  </si>
  <si>
    <t>BBG0020BM247</t>
  </si>
  <si>
    <t>MORGAN ST INV FD-GL INS-ZUSD</t>
  </si>
  <si>
    <t>LU0868754200</t>
  </si>
  <si>
    <t>BBG003YS3WZ2</t>
  </si>
  <si>
    <t>FIDELITY ASIAN BD FD-YQDISUS</t>
  </si>
  <si>
    <t>LU1284738405</t>
  </si>
  <si>
    <t>BBG009ZBK3P1</t>
  </si>
  <si>
    <t>SCHRODER INTL GLB EQTY-I ACC</t>
  </si>
  <si>
    <t>LU0215106534</t>
  </si>
  <si>
    <t>BBG000F47HG2</t>
  </si>
  <si>
    <t>COMPAM FUND-CAD ST ASIA-CUSD</t>
  </si>
  <si>
    <t>LU1190404340</t>
  </si>
  <si>
    <t>BBG00867WZN2</t>
  </si>
  <si>
    <t>FRANK-TECHNOLOGY-I ACC USD</t>
  </si>
  <si>
    <t>BBG001PPPMS8</t>
  </si>
  <si>
    <t>WELL GBL RES EQ FD S USD AC</t>
  </si>
  <si>
    <t>LU0069024304</t>
  </si>
  <si>
    <t>BBG000BK25B6</t>
  </si>
  <si>
    <t>INVESCO-EMKT LC DB-I FIX MD</t>
  </si>
  <si>
    <t>LU2065167046</t>
  </si>
  <si>
    <t>BBG00QKBY1R6</t>
  </si>
  <si>
    <t>FIDELITY CHINA HY-Y USD</t>
  </si>
  <si>
    <t>LU1345482589</t>
  </si>
  <si>
    <t>BBG00C036V92</t>
  </si>
  <si>
    <t>MSIF GLOBAL OPPORTUNITY-Z</t>
  </si>
  <si>
    <t>LU0552385535</t>
  </si>
  <si>
    <t>BBG001C9S815</t>
  </si>
  <si>
    <t>JGF-GLOBAL CONVERTIBLE I USD</t>
  </si>
  <si>
    <t>LU0522256980</t>
  </si>
  <si>
    <t>BBG0016WLF12</t>
  </si>
  <si>
    <t>FIDELITY-ASIAN SMR CO-Y USD</t>
  </si>
  <si>
    <t>LU1273507795</t>
  </si>
  <si>
    <t>BBG009T2SWZ5</t>
  </si>
  <si>
    <t>SCHRODER EMG MKT CUR-IUSDACC</t>
  </si>
  <si>
    <t>LU2405335451</t>
  </si>
  <si>
    <t>BBG013BS6JY3</t>
  </si>
  <si>
    <t>SCHRODER INT-G EMK OP-IUSD-A</t>
  </si>
  <si>
    <t>LU0269905641</t>
  </si>
  <si>
    <t>BBG000QS16F8</t>
  </si>
  <si>
    <t>SCHRODER INT SEL GLOB-IUSDAC</t>
  </si>
  <si>
    <t>LU2369561993</t>
  </si>
  <si>
    <t>BBG012NVLSZ7</t>
  </si>
  <si>
    <t>SCHRODER ISF GLOB COR BD-IAC</t>
  </si>
  <si>
    <t>LU0134339091</t>
  </si>
  <si>
    <t>BBG000MC5B08</t>
  </si>
  <si>
    <t>AXIOM EMERG MARKT EQTY-AUSDA</t>
  </si>
  <si>
    <t>IE0002ABY889</t>
  </si>
  <si>
    <t>BBG0150P3XR6</t>
  </si>
  <si>
    <t>SCHRODER INT-GL EM M O-IZUA</t>
  </si>
  <si>
    <t>LU2031322808</t>
  </si>
  <si>
    <t>BBG00Q2F9JD1</t>
  </si>
  <si>
    <t>SCH ISF-GLOBAL CRP BD-IZ U A</t>
  </si>
  <si>
    <t>LU2016216660</t>
  </si>
  <si>
    <t>BBG00Q2F9HY2</t>
  </si>
  <si>
    <t>SCHRODER INTL GLB EQTY-IZUA</t>
  </si>
  <si>
    <t>LU2016217478</t>
  </si>
  <si>
    <t>BBG00Q2F9J87</t>
  </si>
  <si>
    <t>BSF ESG EURO CORP BD-I2 EUR</t>
  </si>
  <si>
    <t>LU1908247213</t>
  </si>
  <si>
    <t>BBG00NBP87B5</t>
  </si>
  <si>
    <t>INTERMEDE GLB EQ MSTR-EEUR</t>
  </si>
  <si>
    <t>IE00BDRJ3G70</t>
  </si>
  <si>
    <t>EQ0000000057122620</t>
  </si>
  <si>
    <t>SCHRODER INTL GLB HI YD-IUSD</t>
  </si>
  <si>
    <t>LU0189894412</t>
  </si>
  <si>
    <t>EQ0000000001069866</t>
  </si>
  <si>
    <t>MNGL EUR HGYLD OPPRT-IUEURGD</t>
  </si>
  <si>
    <t>IE000K4J19E2</t>
  </si>
  <si>
    <t>EQ0000000095815730</t>
  </si>
  <si>
    <t>CARMIGNAC GRANDCHILDRE-AEURA</t>
  </si>
  <si>
    <t>LU1966631001</t>
  </si>
  <si>
    <t>EQ0000000074721654</t>
  </si>
  <si>
    <t>COMPAM FUND-CAD ST ASIA-CEUA</t>
  </si>
  <si>
    <t>LU2339391703</t>
  </si>
  <si>
    <t>EQ0000000089635286</t>
  </si>
  <si>
    <t>MIR-SUSTAINABLE CON GL-PDUSD</t>
  </si>
  <si>
    <t>LU2990521093</t>
  </si>
  <si>
    <t>EQ0000000097269541</t>
  </si>
  <si>
    <t>LAZARD GB CNVTBL RC-AACCEURH</t>
  </si>
  <si>
    <t>IE00BMW2TD31</t>
  </si>
  <si>
    <t>EQ0000000086653962</t>
  </si>
  <si>
    <t>Y</t>
  </si>
  <si>
    <t>FSSA CHINA GROWTH FD-VIAE</t>
  </si>
  <si>
    <t>EQ0000000068390003</t>
  </si>
  <si>
    <t>JAN HND HRZN EUR HY BO-I2EUR</t>
  </si>
  <si>
    <t>LU0828818087</t>
  </si>
  <si>
    <t>EQ0000000028144429</t>
  </si>
  <si>
    <t>SCH ISF SUST GB MULT CRD-IZ</t>
  </si>
  <si>
    <t>LU1614424700</t>
  </si>
  <si>
    <t>EQ0000000057175434</t>
  </si>
  <si>
    <t>SUSTAINABLE US DOL HIG YD-IZ</t>
  </si>
  <si>
    <t>LU2537426079</t>
  </si>
  <si>
    <t>EQ0000000093129170</t>
  </si>
  <si>
    <t>SCHRODER INT SEL GLOB-IZUSDA</t>
  </si>
  <si>
    <t>LU2369562025</t>
  </si>
  <si>
    <t>EQ0000000090034344</t>
  </si>
  <si>
    <t>SCHR ISF-GBL SST VAL-IZUSDAC</t>
  </si>
  <si>
    <t>LU2405386017</t>
  </si>
  <si>
    <t>EQ0000000090199151</t>
  </si>
  <si>
    <t>SophisID</t>
  </si>
  <si>
    <t>Name</t>
  </si>
  <si>
    <t>DBCode</t>
  </si>
  <si>
    <t>FundName</t>
  </si>
  <si>
    <t>AssetClass</t>
  </si>
  <si>
    <t>Region</t>
  </si>
  <si>
    <t>Style</t>
  </si>
  <si>
    <t>StartDate</t>
  </si>
  <si>
    <t>EndDate</t>
  </si>
  <si>
    <t>IsRepresentative</t>
  </si>
  <si>
    <t>BaseCCY</t>
  </si>
  <si>
    <t>MsMap</t>
  </si>
  <si>
    <t>MsStratName</t>
  </si>
  <si>
    <t>IsUsedforMsRAG</t>
  </si>
  <si>
    <t>Type</t>
  </si>
  <si>
    <t>MappedToType</t>
  </si>
  <si>
    <t>Note</t>
  </si>
  <si>
    <t>Acadian</t>
  </si>
  <si>
    <t>DB8813</t>
  </si>
  <si>
    <t>CH EUROPEAN EQUITY</t>
  </si>
  <si>
    <t>Europe</t>
  </si>
  <si>
    <t>Blend</t>
  </si>
  <si>
    <t>NULL</t>
  </si>
  <si>
    <t xml:space="preserve">Advent </t>
  </si>
  <si>
    <t>DB2016</t>
  </si>
  <si>
    <t>MBB CONVERTIBLE STRATEGY COLLECTION</t>
  </si>
  <si>
    <t>Hybrid</t>
  </si>
  <si>
    <t>Global</t>
  </si>
  <si>
    <t>Algebris</t>
  </si>
  <si>
    <t>DB6214</t>
  </si>
  <si>
    <t>MBB FINANCIAL INCOME STRATEGY</t>
  </si>
  <si>
    <t>MultiAsset</t>
  </si>
  <si>
    <t>Income</t>
  </si>
  <si>
    <t>AllianceBernstein</t>
  </si>
  <si>
    <t>DB3784</t>
  </si>
  <si>
    <t>CH HEALTHCARE EQUITY EVO.</t>
  </si>
  <si>
    <t>Sec_Healthcare</t>
  </si>
  <si>
    <t>DB6459</t>
  </si>
  <si>
    <t>MBB INNOVATIVE THEMATIC OPPORTUNITIES</t>
  </si>
  <si>
    <t>Quality</t>
  </si>
  <si>
    <t>AQR</t>
  </si>
  <si>
    <t>DB8814</t>
  </si>
  <si>
    <t>CH PACIFIC EQUITY</t>
  </si>
  <si>
    <t>APAC</t>
  </si>
  <si>
    <t>Value</t>
  </si>
  <si>
    <t>DB8816</t>
  </si>
  <si>
    <t>CH EMERGING MARKETS EQUITY</t>
  </si>
  <si>
    <t>EM</t>
  </si>
  <si>
    <t>DB8824</t>
  </si>
  <si>
    <t>CH PROVIDENT 1</t>
  </si>
  <si>
    <t>DB5555</t>
  </si>
  <si>
    <t>MBB SOCIALLY RESPONSIBLE COLLECTION</t>
  </si>
  <si>
    <t>DB4223</t>
  </si>
  <si>
    <t>CH INTERNATIONAL EQUITY</t>
  </si>
  <si>
    <t>DB8812</t>
  </si>
  <si>
    <t>CH NORTH AMERICAN EQUITY</t>
  </si>
  <si>
    <t>US</t>
  </si>
  <si>
    <t>Arga</t>
  </si>
  <si>
    <t>DB4211</t>
  </si>
  <si>
    <t>MBB EQUITY POWER COUPON COLLECTION</t>
  </si>
  <si>
    <t>Axiom</t>
  </si>
  <si>
    <t>Growth</t>
  </si>
  <si>
    <t>DB6592</t>
  </si>
  <si>
    <t>MBB GLOBAL EQUITY STYLE SELECTION</t>
  </si>
  <si>
    <t>DB6502</t>
  </si>
  <si>
    <t>MBB GLOBAL LEADERS</t>
  </si>
  <si>
    <t>Baillie Gifford</t>
  </si>
  <si>
    <t>DB6510</t>
  </si>
  <si>
    <t>MBB GLOBAL IMPACT</t>
  </si>
  <si>
    <t>BlackRock</t>
  </si>
  <si>
    <t>DB3888</t>
  </si>
  <si>
    <t>CH ENERGY EQUITY EVO.</t>
  </si>
  <si>
    <t>Sec_Energy</t>
  </si>
  <si>
    <t>DB6574</t>
  </si>
  <si>
    <t>MBB FUTURE SUSTAINABLE NUTRITION</t>
  </si>
  <si>
    <t>BlackRock Nutrition</t>
  </si>
  <si>
    <t>Bluebay</t>
  </si>
  <si>
    <t>DB8818</t>
  </si>
  <si>
    <t>CH EURO BOND</t>
  </si>
  <si>
    <t>FixedIncome</t>
  </si>
  <si>
    <t>Government</t>
  </si>
  <si>
    <t>CHIN</t>
  </si>
  <si>
    <t>MGF GLOBALE MULTI BOND</t>
  </si>
  <si>
    <t>Aggregate</t>
  </si>
  <si>
    <t>BlueBox</t>
  </si>
  <si>
    <t>DB3785</t>
  </si>
  <si>
    <t>CH TECHNOLOGY EQUITY EVO.</t>
  </si>
  <si>
    <t>Sec_Tech</t>
  </si>
  <si>
    <t>GFJU</t>
  </si>
  <si>
    <t>Brigade</t>
  </si>
  <si>
    <t>HighYield</t>
  </si>
  <si>
    <t>DB3015</t>
  </si>
  <si>
    <t>MBB GLOBAL HIGH YIELD</t>
  </si>
  <si>
    <t>Capital Four</t>
  </si>
  <si>
    <t>CREA</t>
  </si>
  <si>
    <t>MGF EURO HIGH YIELD</t>
  </si>
  <si>
    <t>DJE</t>
  </si>
  <si>
    <t>LU4136</t>
  </si>
  <si>
    <t>GAMAX FUNDS JUNIOR</t>
  </si>
  <si>
    <t>Sec_Consumer</t>
  </si>
  <si>
    <t>DWS</t>
  </si>
  <si>
    <t>DB3896</t>
  </si>
  <si>
    <t>CH GERMANY EQUITY</t>
  </si>
  <si>
    <t>Germany</t>
  </si>
  <si>
    <t>GFJR</t>
  </si>
  <si>
    <t>GFJS</t>
  </si>
  <si>
    <t>Eagle</t>
  </si>
  <si>
    <t>Eleva</t>
  </si>
  <si>
    <t>Evolutionary Tree</t>
  </si>
  <si>
    <t>Fidelity</t>
  </si>
  <si>
    <t>DB3789</t>
  </si>
  <si>
    <t>CH INDUSTRIALS AND MATERIALS EQUITY EVO.</t>
  </si>
  <si>
    <t>Sec_IndMat</t>
  </si>
  <si>
    <t>DB6484</t>
  </si>
  <si>
    <t>MBB GLOBAL DEMOGRAPHIC OPPORTUNITIES</t>
  </si>
  <si>
    <t>FirstSentier</t>
  </si>
  <si>
    <t>FountainCap</t>
  </si>
  <si>
    <t>DB6501</t>
  </si>
  <si>
    <t>MBB CHINESE ROAD OPPORTUNITIES</t>
  </si>
  <si>
    <t>China</t>
  </si>
  <si>
    <t>Goldman Sachs</t>
  </si>
  <si>
    <t>DB6575</t>
  </si>
  <si>
    <t>MBB INDIA OPPORTUNITIES</t>
  </si>
  <si>
    <t>GuardCap</t>
  </si>
  <si>
    <t>Impax</t>
  </si>
  <si>
    <t>JPMorgan</t>
  </si>
  <si>
    <t>LU4133</t>
  </si>
  <si>
    <t>GAMAX FUNDS ASIA PACIFIC</t>
  </si>
  <si>
    <t>DB3017</t>
  </si>
  <si>
    <t>MBB PACIFIC COLLECTION</t>
  </si>
  <si>
    <t>Core</t>
  </si>
  <si>
    <t>JP Morgan US REI PAB</t>
  </si>
  <si>
    <t>DB3014</t>
  </si>
  <si>
    <t>MBB US COLLECTION</t>
  </si>
  <si>
    <t>Jupiter</t>
  </si>
  <si>
    <t>KBI</t>
  </si>
  <si>
    <t>DB6572</t>
  </si>
  <si>
    <t>MBB ENERGY TRANSITION</t>
  </si>
  <si>
    <t>DB6544</t>
  </si>
  <si>
    <t>MBB CIRCULAR ECONOMY OPPORTUNITIES</t>
  </si>
  <si>
    <t>Lansdowne</t>
  </si>
  <si>
    <t>DB3018</t>
  </si>
  <si>
    <t>MBB EUROPEAN COLLECTION</t>
  </si>
  <si>
    <t>Lazard</t>
  </si>
  <si>
    <t>DB6622</t>
  </si>
  <si>
    <t>MBB WORLD INNOVATIVE LEADERS</t>
  </si>
  <si>
    <t>MAN</t>
  </si>
  <si>
    <t>Mesirow</t>
  </si>
  <si>
    <t>Metropolis</t>
  </si>
  <si>
    <t>DB6342</t>
  </si>
  <si>
    <t>MBB DYNAMIC INTERNATIONAL VALUE OPPORTUNITIES</t>
  </si>
  <si>
    <t>Morgan Stanley</t>
  </si>
  <si>
    <t>DB2015</t>
  </si>
  <si>
    <t>MBB INFRASTRUCTURE OPPORTUNITIES COLLECTION</t>
  </si>
  <si>
    <t>Morgan Stanley Global Infrastr</t>
  </si>
  <si>
    <t>DB5199</t>
  </si>
  <si>
    <t>CH INTERNATIONAL INCOME</t>
  </si>
  <si>
    <t>ShortDuration</t>
  </si>
  <si>
    <t>DB6605</t>
  </si>
  <si>
    <t>MBB GLOBAL SUSTAINABLE BOND</t>
  </si>
  <si>
    <t>Aggregate_ESG</t>
  </si>
  <si>
    <t>DB5200</t>
  </si>
  <si>
    <t>CH INTERNATIONAL BOND</t>
  </si>
  <si>
    <t>GFJ8</t>
  </si>
  <si>
    <t>Muzinich</t>
  </si>
  <si>
    <t>Muzinich European High Yield</t>
  </si>
  <si>
    <t>Neuberger Berman</t>
  </si>
  <si>
    <t>DB6503</t>
  </si>
  <si>
    <t>MBB EMERGING MARKETS FIXED INCOME</t>
  </si>
  <si>
    <t>HardCurrency</t>
  </si>
  <si>
    <t>DB8820</t>
  </si>
  <si>
    <t>CH EURO INCOME</t>
  </si>
  <si>
    <t>Agg_Treasury</t>
  </si>
  <si>
    <t>Ninety One</t>
  </si>
  <si>
    <t>MIFL history is target fund investment, scope to adjust this to mandate</t>
  </si>
  <si>
    <t>OakHill</t>
  </si>
  <si>
    <t>PGIM</t>
  </si>
  <si>
    <t>LocalCurrency</t>
  </si>
  <si>
    <t>Pictet</t>
  </si>
  <si>
    <t>Pinestone</t>
  </si>
  <si>
    <t>Putnam</t>
  </si>
  <si>
    <t>Healthcare</t>
  </si>
  <si>
    <t>Putnam Global Healthcare</t>
  </si>
  <si>
    <t>Pzena</t>
  </si>
  <si>
    <t>Value_Concentrated</t>
  </si>
  <si>
    <t>Pzena Global Focused Value</t>
  </si>
  <si>
    <t>Robeco</t>
  </si>
  <si>
    <t>DB5434</t>
  </si>
  <si>
    <t>MBB COUPON STRATEGY COLLECTION</t>
  </si>
  <si>
    <t>DB3019</t>
  </si>
  <si>
    <t>MBB EMERGING MARKETS COLLECTION</t>
  </si>
  <si>
    <t>DB6604</t>
  </si>
  <si>
    <t>MBB GREEN BUILDINGS EVO.</t>
  </si>
  <si>
    <t>GreenBuildings</t>
  </si>
  <si>
    <t>Robeco1_6124</t>
  </si>
  <si>
    <t>FIBAN024</t>
  </si>
  <si>
    <t>MG COMPROMISO</t>
  </si>
  <si>
    <t>Sanders</t>
  </si>
  <si>
    <t>Sands</t>
  </si>
  <si>
    <t>Schroders</t>
  </si>
  <si>
    <t>SGA</t>
  </si>
  <si>
    <t>Tenax</t>
  </si>
  <si>
    <t>DB3787</t>
  </si>
  <si>
    <t>CH FINANCIAL EQUITY EVO.</t>
  </si>
  <si>
    <t>Sec_Financial</t>
  </si>
  <si>
    <t>Trea</t>
  </si>
  <si>
    <t>DB4221</t>
  </si>
  <si>
    <t>CH SPAIN EQUITY</t>
  </si>
  <si>
    <t>Spain</t>
  </si>
  <si>
    <t>Wellington</t>
  </si>
  <si>
    <t>Zazove</t>
  </si>
  <si>
    <t>Allianz Thematica</t>
  </si>
  <si>
    <t>ELEVA EUROLAND SE-I EUR ACC</t>
  </si>
  <si>
    <t>ELEVA LEADERS SM&amp;MD CE-IEURA</t>
  </si>
  <si>
    <t>Fidelity Iberia</t>
  </si>
  <si>
    <t>Fidelity Sustainable Asia</t>
  </si>
  <si>
    <t>GBP</t>
  </si>
  <si>
    <t>Kempen Global High Dividend</t>
  </si>
  <si>
    <t>ODDO BHF AVENIR EUROPE-CREUR</t>
  </si>
  <si>
    <t>GBp</t>
  </si>
  <si>
    <t>Troy Global Income</t>
  </si>
  <si>
    <t>FLOSSBACH STORCH BOND OPPS-I</t>
  </si>
  <si>
    <t>Muzinich Global Tactical Credit</t>
  </si>
  <si>
    <t>PGIM Broad Market US High Yield</t>
  </si>
  <si>
    <t>Robeco High Yield Bonds</t>
  </si>
  <si>
    <t>Schroder ISF Global Convertibl</t>
  </si>
  <si>
    <t>Change Date</t>
  </si>
  <si>
    <t>Weight</t>
  </si>
  <si>
    <t>SAA</t>
  </si>
  <si>
    <t>IsComposite</t>
  </si>
  <si>
    <t>Provider</t>
  </si>
  <si>
    <t>Ticker</t>
  </si>
  <si>
    <t>Comment</t>
  </si>
  <si>
    <t>IAR SAA</t>
  </si>
  <si>
    <t>Hedged.Status</t>
  </si>
  <si>
    <t>MSCI Germany</t>
  </si>
  <si>
    <t/>
  </si>
  <si>
    <t>MSCI Germany Small Cap</t>
  </si>
  <si>
    <t>MSCI Spain 10/40</t>
  </si>
  <si>
    <t>MSCI Spain Small Cap</t>
  </si>
  <si>
    <t>MSCI World Financials</t>
  </si>
  <si>
    <t>MSCI World Financial Index local currencies (NDWLFNCL Index) perfectly hedged</t>
  </si>
  <si>
    <t>The BofA Merrill Lynch Contingent Capital Index EUR hedged (COCO Index)</t>
  </si>
  <si>
    <t>ICE BofAML Euro Financial Index (EB00)</t>
  </si>
  <si>
    <t>MSCI ACWI till 30/09/2024</t>
  </si>
  <si>
    <t>MSCI World Small Cap</t>
  </si>
  <si>
    <t>MSCI World Healthcare</t>
  </si>
  <si>
    <t>MSCI World Information Technology &amp; Communication Services Index to Feb 2023.</t>
  </si>
  <si>
    <t>MSCI World Information Technology (10/40)</t>
  </si>
  <si>
    <t>MSCI World Media &amp; Entertainment</t>
  </si>
  <si>
    <t>MSCI EM Min Vol</t>
  </si>
  <si>
    <t>MSCI Global Alternative Energy</t>
  </si>
  <si>
    <t>MSCI World Consumer Staples</t>
  </si>
  <si>
    <t>MSCI World Materials</t>
  </si>
  <si>
    <t>MSCI World Industrials</t>
  </si>
  <si>
    <t>MSCI China All Shares Quality</t>
  </si>
  <si>
    <t>MSCI World Quality</t>
  </si>
  <si>
    <t>MSCI World Low Volatility</t>
  </si>
  <si>
    <t>ICE US High Yield USD Unhedged (JUC0)</t>
  </si>
  <si>
    <t>ICE US Small Cap High Yield USD Unhedged (JSML)</t>
  </si>
  <si>
    <t>MSCI ACWI Min Vol</t>
  </si>
  <si>
    <t>UCBIFX02 Index</t>
  </si>
  <si>
    <t>FTSE Global Focus Convertible Hedged CB (USD)</t>
  </si>
  <si>
    <t>C4 Composite: ICE European Currency High Yield, then 31/03/2022</t>
  </si>
  <si>
    <t>HPC0</t>
  </si>
  <si>
    <t>JUC0</t>
  </si>
  <si>
    <t>ICE BB-B Global High Yield - HW40</t>
  </si>
  <si>
    <t>GBMI Index</t>
  </si>
  <si>
    <t>ICE BofAML Global Broad Market</t>
  </si>
  <si>
    <t>ICE BBB Global Corporate - GBC4</t>
  </si>
  <si>
    <t>50/50 JPM EM Blend (EUR)</t>
  </si>
  <si>
    <t>WALD Index</t>
  </si>
  <si>
    <t>ICE BofAML Diversified Emerging Markets Sovereign Bond</t>
  </si>
  <si>
    <t>ICE BofAML US Emerging Markets External Sovereign</t>
  </si>
  <si>
    <t>ICE</t>
  </si>
  <si>
    <t>DGOV Index</t>
  </si>
  <si>
    <t>Changed due to License</t>
  </si>
  <si>
    <t>MXEF Index</t>
  </si>
  <si>
    <t>MXWD Index</t>
  </si>
  <si>
    <t>MSCI AC World</t>
  </si>
  <si>
    <t>MSCI Emerging Markets</t>
  </si>
  <si>
    <t>M8CXRARA Index</t>
  </si>
  <si>
    <t>MSCI World Core Infrastructure</t>
  </si>
  <si>
    <t>MSCI</t>
  </si>
  <si>
    <t>S&amp;P Global Infrastructure</t>
  </si>
  <si>
    <t>MXCNANM Index</t>
  </si>
  <si>
    <t>UCBIFX15 Index</t>
  </si>
  <si>
    <t>Refinitiv Global Vanilla Hedged (CB) Euro</t>
  </si>
  <si>
    <t>ICE Global Broad Markets EUR Hedged (GBMI)</t>
  </si>
  <si>
    <t>ICE Global HY Constrained EUR Hedged (HW0C)</t>
  </si>
  <si>
    <t>EMU0 Index</t>
  </si>
  <si>
    <t>ICE BofAML Euro Broad Market</t>
  </si>
  <si>
    <t>MSCI World Information Technology</t>
  </si>
  <si>
    <t>MXWO0IT Index</t>
  </si>
  <si>
    <t>BLOOMBERG EM USD AGG HY</t>
  </si>
  <si>
    <t>ID00 Index</t>
  </si>
  <si>
    <t>ICE US EM Sovereign &amp; Credit</t>
  </si>
  <si>
    <t>BLOOMBERG EM USD IG</t>
  </si>
  <si>
    <t>ICE BofAML High Yield US Emerging Markets Liquid Corporate Plus Constrained</t>
  </si>
  <si>
    <t>ECHY Index</t>
  </si>
  <si>
    <t>MXDE Index</t>
  </si>
  <si>
    <t>ICE Global Broad Markets EUR Unhedged (GBMI)</t>
  </si>
  <si>
    <t>Global HY Constrained EUR Unhedged (HW0C)</t>
  </si>
  <si>
    <t>MXINIM Index</t>
  </si>
  <si>
    <t>M1APJ Index</t>
  </si>
  <si>
    <t>MSCI AC Asia Pacific ex-Japan</t>
  </si>
  <si>
    <t>MAAP Index</t>
  </si>
  <si>
    <t>MXEUG Index</t>
  </si>
  <si>
    <t>MSCI Europe Excluding United Kingdom</t>
  </si>
  <si>
    <t>US00 Index</t>
  </si>
  <si>
    <t>ICE BofAML US Broad Market</t>
  </si>
  <si>
    <t>MSCI EM IMI</t>
  </si>
  <si>
    <t>MSCI EM IMI Growth</t>
  </si>
  <si>
    <t>MXJP Index</t>
  </si>
  <si>
    <t>MSCI Japan Index</t>
  </si>
  <si>
    <t>MXEU Index</t>
  </si>
  <si>
    <t>Source</t>
  </si>
  <si>
    <t>Hedged</t>
  </si>
  <si>
    <t>HW40 Index</t>
  </si>
  <si>
    <t>GBC4 Index</t>
  </si>
  <si>
    <t>HW0C Index</t>
  </si>
  <si>
    <t>MIMUEMRN Index</t>
  </si>
  <si>
    <t>M1EF0008 Index</t>
  </si>
  <si>
    <t>Managed_Account_ID</t>
  </si>
  <si>
    <t>MA105</t>
  </si>
  <si>
    <t>MA503</t>
  </si>
  <si>
    <t>MA502</t>
  </si>
  <si>
    <t>MA3</t>
  </si>
  <si>
    <t>MA13</t>
  </si>
  <si>
    <t>MA19</t>
  </si>
  <si>
    <t>MA17</t>
  </si>
  <si>
    <t>MA172</t>
  </si>
  <si>
    <t>MA482</t>
  </si>
  <si>
    <t>MA68</t>
  </si>
  <si>
    <t>MA50</t>
  </si>
  <si>
    <t>MA10</t>
  </si>
  <si>
    <t>MA120</t>
  </si>
  <si>
    <t>MA117</t>
  </si>
  <si>
    <t>MA98</t>
  </si>
  <si>
    <t>MA406</t>
  </si>
  <si>
    <t>MA468</t>
  </si>
  <si>
    <t>MA109</t>
  </si>
  <si>
    <t>MA477</t>
  </si>
  <si>
    <t>MA484</t>
  </si>
  <si>
    <t>MA504</t>
  </si>
  <si>
    <t>MA47</t>
  </si>
  <si>
    <t>MA41</t>
  </si>
  <si>
    <t>MA43</t>
  </si>
  <si>
    <t>MA111</t>
  </si>
  <si>
    <t>MA150</t>
  </si>
  <si>
    <t>MA480</t>
  </si>
  <si>
    <t>MA405</t>
  </si>
  <si>
    <t>MA83</t>
  </si>
  <si>
    <t>MA112</t>
  </si>
  <si>
    <t>MA151</t>
  </si>
  <si>
    <t>MA474</t>
  </si>
  <si>
    <t>MA483</t>
  </si>
  <si>
    <t>MA97</t>
  </si>
  <si>
    <t>MA167</t>
  </si>
  <si>
    <t>MA4</t>
  </si>
  <si>
    <t>MA42</t>
  </si>
  <si>
    <t>MA486</t>
  </si>
  <si>
    <t>MA467</t>
  </si>
  <si>
    <t>MA46</t>
  </si>
  <si>
    <t>MA65</t>
  </si>
  <si>
    <t>MA149</t>
  </si>
  <si>
    <t>MA66</t>
  </si>
  <si>
    <t>MA80</t>
  </si>
  <si>
    <t>MA9</t>
  </si>
  <si>
    <t>MA26</t>
  </si>
  <si>
    <t>MA5</t>
  </si>
  <si>
    <t>MA99</t>
  </si>
  <si>
    <t>MA100</t>
  </si>
  <si>
    <t>MA2</t>
  </si>
  <si>
    <t>MA14</t>
  </si>
  <si>
    <t>MA27</t>
  </si>
  <si>
    <t>MA64</t>
  </si>
  <si>
    <t>MA124</t>
  </si>
  <si>
    <t>MA6</t>
  </si>
  <si>
    <t>MA29</t>
  </si>
  <si>
    <t>MA125</t>
  </si>
  <si>
    <t>MA36</t>
  </si>
  <si>
    <t>MA12</t>
  </si>
  <si>
    <t>MA7</t>
  </si>
  <si>
    <t>MA44</t>
  </si>
  <si>
    <t>MA163</t>
  </si>
  <si>
    <t>MA38</t>
  </si>
  <si>
    <t>MA134</t>
  </si>
  <si>
    <t>MA490</t>
  </si>
  <si>
    <t>MA11</t>
  </si>
  <si>
    <t>MA514</t>
  </si>
  <si>
    <t>MA515</t>
  </si>
  <si>
    <t>MA519</t>
  </si>
  <si>
    <t>MA518</t>
  </si>
  <si>
    <t>MA510</t>
  </si>
  <si>
    <t>MA509</t>
  </si>
  <si>
    <t>MA499</t>
  </si>
  <si>
    <t>MA614</t>
  </si>
  <si>
    <t>MA603</t>
  </si>
  <si>
    <t>MA613</t>
  </si>
  <si>
    <t>MA610</t>
  </si>
  <si>
    <t>MA617</t>
  </si>
  <si>
    <t>MA618</t>
  </si>
  <si>
    <t>50% ICE BofA US Emerging Markets External Sovereign / 50% ICE BofA Diversified Emerging Markets Sovereign Bond</t>
  </si>
  <si>
    <t>ICE BofA Diversified Emerging Markets Sovereign Bond</t>
  </si>
  <si>
    <t>ICE BofA US Emerging Markets External Sovereign</t>
  </si>
  <si>
    <t>Brandes</t>
  </si>
  <si>
    <t>ETCM Global Equity</t>
  </si>
  <si>
    <t>Lazard World Innovative Leaders</t>
  </si>
  <si>
    <t>Mirabaud Sustainable Convertibles Global</t>
  </si>
  <si>
    <t>Muzinich Euro High Yield</t>
  </si>
  <si>
    <t>Putnam Global HealthCare</t>
  </si>
  <si>
    <t>Robeco Global Equity (Compromiso)</t>
  </si>
  <si>
    <t xml:space="preserve">	
MSCI World Core Infrastructure</t>
  </si>
  <si>
    <t>license issues in FS</t>
  </si>
  <si>
    <t>DelCodeISIN</t>
  </si>
  <si>
    <t>Strategy Name</t>
  </si>
  <si>
    <t>Asset Manager</t>
  </si>
  <si>
    <t>Analyst Estimate - Excess Return</t>
  </si>
  <si>
    <t>Analyst Estimate - Tracking Error</t>
  </si>
  <si>
    <t>Sector Gamma Health Care</t>
  </si>
  <si>
    <t>Sector Gamma</t>
  </si>
  <si>
    <t>Arga Global Value</t>
  </si>
  <si>
    <t>Impax Nutrition</t>
  </si>
  <si>
    <t>AQR North America Equity</t>
  </si>
  <si>
    <t>AQR Emerging Markets Equity</t>
  </si>
  <si>
    <t>DJE Gamax Junior</t>
  </si>
  <si>
    <t>Deutsche Invest European High Yield</t>
  </si>
  <si>
    <t>Morgan Stanley Global Infrastructure</t>
  </si>
  <si>
    <t>Robeco Emerging Markets Equity Fund</t>
  </si>
  <si>
    <t>JPM US Select Equity Fund</t>
  </si>
  <si>
    <t>AQR International Equity</t>
  </si>
  <si>
    <t>Morgan Stanley Challenge International Income</t>
  </si>
  <si>
    <t>Morgan Stanley Challenge International Bond</t>
  </si>
  <si>
    <t>BlueBay Investment Grade Euro Government Bond Fund</t>
  </si>
  <si>
    <t>Schroder China Opportunities</t>
  </si>
  <si>
    <t>Schroder Global Demographics</t>
  </si>
  <si>
    <t>Schroder Global Equity</t>
  </si>
  <si>
    <t>NZS</t>
  </si>
  <si>
    <t>KBI Global Investors</t>
  </si>
  <si>
    <t>Acadian Europe</t>
  </si>
  <si>
    <t>GSAM All China</t>
  </si>
  <si>
    <t>Eagle Capital</t>
  </si>
  <si>
    <t>Fountaincap</t>
  </si>
  <si>
    <t>Sands Capital</t>
  </si>
  <si>
    <t>PGIM Emerging Market Debt LC</t>
  </si>
  <si>
    <t>MSIM Calvert Global Sustainable Bond</t>
  </si>
  <si>
    <t>AllianceBernstein International Healthcare</t>
  </si>
  <si>
    <t>Alliance Bernstein</t>
  </si>
  <si>
    <t>AllianceBernstein Sustainable Global Thematic</t>
  </si>
  <si>
    <t>Oak Hill Advisors</t>
  </si>
  <si>
    <t>Blackrock World Energy</t>
  </si>
  <si>
    <t>Blackrock</t>
  </si>
  <si>
    <t>Zazove Global Convertibles</t>
  </si>
  <si>
    <t>Zazove Associates</t>
  </si>
  <si>
    <t>Advent Global Convertibles</t>
  </si>
  <si>
    <t>Advent Capital Management</t>
  </si>
  <si>
    <t>JPM US REI PAB ETF</t>
  </si>
  <si>
    <t>Axiom International Small Cap Momentum</t>
  </si>
  <si>
    <t>Arga International Small Cap Value</t>
  </si>
  <si>
    <t>Evolutionary Tree Humboldt Global Innovators</t>
  </si>
  <si>
    <t>Brandes US Small Cap Value</t>
  </si>
  <si>
    <t>IMC US Small Cap Momentum</t>
  </si>
  <si>
    <t>IMC</t>
  </si>
  <si>
    <t>KAR International Small Cap Quality</t>
  </si>
  <si>
    <t>Kayne Anderson Rudnick</t>
  </si>
  <si>
    <t>Man GLG European High Yield Opportunities</t>
  </si>
  <si>
    <t>Man Group</t>
  </si>
  <si>
    <t>BlueBay Global IG Credit (GMB)</t>
  </si>
  <si>
    <t>BlueBay</t>
  </si>
  <si>
    <t>Brigade High Yield (GMB)</t>
  </si>
  <si>
    <t>PGIM Emerging Market Blend (GMB)</t>
  </si>
  <si>
    <t>Muzinich Dynamic Credit Income Fund</t>
  </si>
  <si>
    <t>Artisan Partners</t>
  </si>
  <si>
    <t>IE0007ND3A32</t>
  </si>
  <si>
    <t>Snyder US All Cap</t>
  </si>
  <si>
    <t>Snyder</t>
  </si>
  <si>
    <t>IE000TXCLZ92</t>
  </si>
  <si>
    <t>PGIM Emerging Market Debt HC</t>
  </si>
  <si>
    <t>IE000WEQKEU9</t>
  </si>
  <si>
    <t>Sephira EM Equity</t>
  </si>
  <si>
    <t>Sephira</t>
  </si>
  <si>
    <t>Hermes</t>
  </si>
  <si>
    <t>First Sentier Global Listed Infrastructure</t>
  </si>
  <si>
    <t>First Sentier</t>
  </si>
  <si>
    <t>PGIM US High Yield</t>
  </si>
  <si>
    <t>Atlas Global Listed Infrastructure</t>
  </si>
  <si>
    <t>Atlas</t>
  </si>
  <si>
    <t>IE00BMWBB563</t>
  </si>
  <si>
    <t>MAN Asia ex Japan Equity</t>
  </si>
  <si>
    <t>Lazard Global Convertible Recovery</t>
  </si>
  <si>
    <t>FSSA China Growth Equity</t>
  </si>
  <si>
    <t>FSSA</t>
  </si>
  <si>
    <t>Bluebay Investment Grade Euro Agg Bond</t>
  </si>
  <si>
    <t xml:space="preserve">Franklin Technology </t>
  </si>
  <si>
    <t>Franklin Templeton</t>
  </si>
  <si>
    <t>Trea SICAV - 3G Credit Opportunities</t>
  </si>
  <si>
    <t>Allianz</t>
  </si>
  <si>
    <t>Manulife</t>
  </si>
  <si>
    <t>LU0949827314</t>
  </si>
  <si>
    <t>Pzena Europe</t>
  </si>
  <si>
    <t xml:space="preserve">Blackrock Continental European Flex </t>
  </si>
  <si>
    <t>JPMorgan Funds - JPM U.S. Aggregate Bond Fund</t>
  </si>
  <si>
    <t>RWC</t>
  </si>
  <si>
    <t>Alma</t>
  </si>
  <si>
    <t>Eleva European Select Equity</t>
  </si>
  <si>
    <t>Eleva Euroland Select Equity</t>
  </si>
  <si>
    <t>Exane European Selection</t>
  </si>
  <si>
    <t>Exane</t>
  </si>
  <si>
    <t>Bin Yuan China Equity (Hereford)</t>
  </si>
  <si>
    <t>Bin Yuan</t>
  </si>
  <si>
    <t>Flossbach von Storch Bond Opportunities</t>
  </si>
  <si>
    <t>Flossbach</t>
  </si>
  <si>
    <t>360 One</t>
  </si>
  <si>
    <t>LU2760007729</t>
  </si>
  <si>
    <t>AllianceBernstein European Growth</t>
  </si>
  <si>
    <t>Mirabaud</t>
  </si>
  <si>
    <t>Alpha_Target</t>
  </si>
  <si>
    <t>Tracking_Error</t>
  </si>
  <si>
    <t>MA655</t>
  </si>
  <si>
    <t>MA649</t>
  </si>
  <si>
    <t>MA644</t>
  </si>
  <si>
    <t>MA621</t>
  </si>
  <si>
    <t>MA648</t>
  </si>
  <si>
    <t>MA497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</si>
</sst>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vertical="center"/>
    </xf>
    <xf numFmtId="47" fontId="0" fillId="0" borderId="0" xfId="0" applyNumberFormat="1" applyAlignment="1">
      <alignment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6" fillId="2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2" fontId="0" fillId="0" borderId="0" xfId="0" applyNumberFormat="1"/>
    <xf numFmtId="164" fontId="8" fillId="3" borderId="0" xfId="1" applyNumberFormat="1" applyFont="1" applyFill="1" applyAlignment="1" applyProtection="1">
      <alignment horizontal="left"/>
    </xf>
    <xf numFmtId="0" fontId="9" fillId="0" borderId="0" xfId="0" applyFont="1" applyAlignment="1">
      <alignment horizontal="left" vertical="center" wrapText="1"/>
    </xf>
    <xf numFmtId="0" fontId="3" fillId="4" borderId="1" xfId="3" applyFont="1" applyFill="1" applyBorder="1" applyAlignment="1">
      <alignment horizontal="left" vertical="top"/>
    </xf>
    <xf numFmtId="0" fontId="3" fillId="5" borderId="1" xfId="3" applyFont="1" applyFill="1" applyBorder="1" applyAlignment="1">
      <alignment vertical="top"/>
    </xf>
    <xf numFmtId="165" fontId="3" fillId="5" borderId="1" xfId="4" applyNumberFormat="1" applyFont="1" applyFill="1" applyBorder="1" applyAlignment="1"/>
    <xf numFmtId="0" fontId="3" fillId="0" borderId="1" xfId="3" applyFont="1" applyBorder="1" applyProtection="1">
      <protection locked="0"/>
    </xf>
    <xf numFmtId="0" fontId="10" fillId="0" borderId="0" xfId="3" applyProtection="1">
      <protection locked="0"/>
    </xf>
    <xf numFmtId="0" fontId="8" fillId="4" borderId="1" xfId="3" applyFont="1" applyFill="1" applyBorder="1" applyAlignment="1">
      <alignment horizontal="left"/>
    </xf>
    <xf numFmtId="0" fontId="8" fillId="5" borderId="1" xfId="3" applyFont="1" applyFill="1" applyBorder="1"/>
    <xf numFmtId="2" fontId="8" fillId="0" borderId="1" xfId="3" applyNumberFormat="1" applyFont="1" applyBorder="1" applyAlignment="1" applyProtection="1">
      <alignment horizontal="center"/>
      <protection locked="0"/>
    </xf>
    <xf numFmtId="0" fontId="2" fillId="0" borderId="0" xfId="3" applyFont="1" applyProtection="1">
      <protection locked="0"/>
    </xf>
    <xf numFmtId="0" fontId="1" fillId="0" borderId="0" xfId="3" applyFont="1" applyProtection="1">
      <protection locked="0"/>
    </xf>
    <xf numFmtId="0" fontId="8" fillId="5" borderId="2" xfId="3" applyFont="1" applyFill="1" applyBorder="1"/>
    <xf numFmtId="0" fontId="8" fillId="3" borderId="0" xfId="3" applyFont="1" applyFill="1" applyAlignment="1">
      <alignment horizontal="left"/>
    </xf>
    <xf numFmtId="0" fontId="8" fillId="3" borderId="0" xfId="3" applyFont="1" applyFill="1"/>
    <xf numFmtId="0" fontId="8" fillId="3" borderId="0" xfId="3" applyFont="1" applyFill="1" applyProtection="1">
      <protection locked="0"/>
    </xf>
    <xf numFmtId="165" fontId="0" fillId="0" borderId="0" xfId="2" applyNumberFormat="1" applyFont="1"/>
  </cellXfs>
  <cellStyles count="6">
    <cellStyle name="Comma" xfId="1" builtinId="3"/>
    <cellStyle name="Comma 2" xfId="5" xr:uid="{EA95C5AD-5EFB-4E57-BE36-527A22202621}"/>
    <cellStyle name="Normal" xfId="0" builtinId="0"/>
    <cellStyle name="Normal 2" xfId="3" xr:uid="{7593BDCF-DD6A-4C47-B860-751886C1BAA3}"/>
    <cellStyle name="Per cent" xfId="2" builtinId="5"/>
    <cellStyle name="Per cent 2" xfId="4" xr:uid="{E0F2A8F0-65BD-4267-A1AB-81041DAC8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itansh Chauhan" id="{F2DC3A69-523A-4BDD-B4A3-5F9C29B80411}" userId="S::hitansh.chauhan@mediolanum.ie::ffe5c115-3e52-4c58-875f-20bd44235e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8" dT="2026-03-20T11:55:27.45" personId="{F2DC3A69-523A-4BDD-B4A3-5F9C29B80411}" id="{3826215E-035B-439F-A8A6-148375AA3203}">
    <text xml:space="preserve">License issues in FactSet
</text>
  </threadedComment>
  <threadedComment ref="N46" dT="2026-03-20T11:55:27.45" personId="{F2DC3A69-523A-4BDD-B4A3-5F9C29B80411}" id="{078724F5-5465-4EEC-A879-E87337BD46D1}">
    <text xml:space="preserve">License issues in FactSet
</text>
  </threadedComment>
  <threadedComment ref="N111" dT="2026-03-20T11:55:27.45" personId="{F2DC3A69-523A-4BDD-B4A3-5F9C29B80411}" id="{F723DF05-6095-4A63-B328-EE029E69DD75}">
    <text xml:space="preserve">License issues in FactSet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E8B6-2B53-4FCF-950F-A435FFB71817}">
  <dimension ref="A1:R133"/>
  <sheetViews>
    <sheetView tabSelected="1" zoomScale="85" zoomScaleNormal="85" workbookViewId="0">
      <pane ySplit="1" topLeftCell="A2" activePane="bottomLeft" state="frozen"/>
      <selection activeCell="B1" sqref="B1"/>
      <selection pane="bottomLeft" activeCell="E11" sqref="E11"/>
    </sheetView>
  </sheetViews>
  <sheetFormatPr defaultRowHeight="15" x14ac:dyDescent="0.25"/>
  <cols>
    <col min="1" max="1" width="52.28515625" bestFit="1" customWidth="1"/>
    <col min="2" max="2" width="14.85546875" bestFit="1" customWidth="1"/>
    <col min="4" max="4" width="18" bestFit="1" customWidth="1"/>
    <col min="5" max="5" width="129.28515625" customWidth="1"/>
    <col min="6" max="6" width="21" bestFit="1" customWidth="1"/>
    <col min="9" max="9" width="13.28515625" bestFit="1" customWidth="1"/>
    <col min="10" max="10" width="15.42578125" bestFit="1" customWidth="1"/>
    <col min="11" max="11" width="18.140625" bestFit="1" customWidth="1"/>
    <col min="12" max="12" width="18.140625" customWidth="1"/>
    <col min="13" max="13" width="18.7109375" bestFit="1" customWidth="1"/>
    <col min="16" max="16" width="22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1174</v>
      </c>
      <c r="Q1" t="s">
        <v>1368</v>
      </c>
      <c r="R1" t="s">
        <v>1369</v>
      </c>
    </row>
    <row r="2" spans="1:18" x14ac:dyDescent="0.25">
      <c r="A2" t="s">
        <v>15</v>
      </c>
      <c r="B2" s="1" t="s">
        <v>16</v>
      </c>
      <c r="C2" t="s">
        <v>17</v>
      </c>
      <c r="D2" t="s">
        <v>18</v>
      </c>
      <c r="E2" t="s">
        <v>19</v>
      </c>
      <c r="F2" s="2">
        <v>45808</v>
      </c>
      <c r="G2" t="s">
        <v>20</v>
      </c>
      <c r="J2" t="b">
        <v>0</v>
      </c>
      <c r="P2" t="s">
        <v>1087</v>
      </c>
      <c r="Q2" s="34">
        <v>0.04</v>
      </c>
      <c r="R2" s="34">
        <v>0.06</v>
      </c>
    </row>
    <row r="3" spans="1:18" x14ac:dyDescent="0.25">
      <c r="A3" t="s">
        <v>25</v>
      </c>
      <c r="B3" s="1">
        <v>719168</v>
      </c>
      <c r="C3" t="s">
        <v>17</v>
      </c>
      <c r="D3" t="s">
        <v>26</v>
      </c>
      <c r="E3" t="s">
        <v>27</v>
      </c>
      <c r="F3" s="2">
        <v>45808</v>
      </c>
      <c r="G3" t="s">
        <v>24</v>
      </c>
      <c r="J3" t="s">
        <v>1087</v>
      </c>
      <c r="O3" t="s">
        <v>251</v>
      </c>
      <c r="P3" t="s">
        <v>1176</v>
      </c>
      <c r="Q3" s="34">
        <v>2.5000000000000001E-2</v>
      </c>
      <c r="R3" s="34">
        <v>0.04</v>
      </c>
    </row>
    <row r="4" spans="1:18" x14ac:dyDescent="0.25">
      <c r="A4" t="s">
        <v>21</v>
      </c>
      <c r="B4" s="1">
        <v>708786</v>
      </c>
      <c r="C4" t="s">
        <v>17</v>
      </c>
      <c r="D4" t="s">
        <v>22</v>
      </c>
      <c r="E4" t="s">
        <v>23</v>
      </c>
      <c r="F4" s="2">
        <v>45808</v>
      </c>
      <c r="G4" t="s">
        <v>24</v>
      </c>
      <c r="J4" t="s">
        <v>1087</v>
      </c>
      <c r="O4" t="s">
        <v>251</v>
      </c>
      <c r="P4" t="s">
        <v>1175</v>
      </c>
      <c r="Q4" s="34">
        <v>0.02</v>
      </c>
      <c r="R4" s="34">
        <v>0.04</v>
      </c>
    </row>
    <row r="5" spans="1:18" x14ac:dyDescent="0.25">
      <c r="A5" t="s">
        <v>378</v>
      </c>
      <c r="B5" s="1">
        <v>724767</v>
      </c>
      <c r="C5" t="s">
        <v>249</v>
      </c>
      <c r="D5" t="s">
        <v>379</v>
      </c>
      <c r="E5" t="s">
        <v>324</v>
      </c>
      <c r="F5" s="2">
        <v>45808</v>
      </c>
      <c r="G5" t="s">
        <v>24</v>
      </c>
      <c r="J5" t="s">
        <v>1087</v>
      </c>
      <c r="L5" s="2">
        <v>45991</v>
      </c>
      <c r="O5" t="s">
        <v>289</v>
      </c>
      <c r="P5" t="s">
        <v>1252</v>
      </c>
      <c r="Q5" s="34">
        <v>0.02</v>
      </c>
      <c r="R5" s="34">
        <v>0.03</v>
      </c>
    </row>
    <row r="6" spans="1:18" x14ac:dyDescent="0.25">
      <c r="A6" t="s">
        <v>252</v>
      </c>
      <c r="B6" s="1">
        <v>657375</v>
      </c>
      <c r="C6" t="s">
        <v>249</v>
      </c>
      <c r="D6" t="s">
        <v>253</v>
      </c>
      <c r="E6" t="s">
        <v>254</v>
      </c>
      <c r="F6" s="2">
        <v>45808</v>
      </c>
      <c r="G6" t="s">
        <v>24</v>
      </c>
      <c r="J6" t="s">
        <v>1087</v>
      </c>
      <c r="O6" t="s">
        <v>251</v>
      </c>
      <c r="P6" t="s">
        <v>1227</v>
      </c>
      <c r="Q6" s="34">
        <v>0.02</v>
      </c>
      <c r="R6" s="34">
        <v>4.4999999999999998E-2</v>
      </c>
    </row>
    <row r="7" spans="1:18" x14ac:dyDescent="0.25">
      <c r="A7" t="s">
        <v>28</v>
      </c>
      <c r="B7" s="1">
        <v>719169</v>
      </c>
      <c r="C7" t="s">
        <v>17</v>
      </c>
      <c r="D7" t="s">
        <v>29</v>
      </c>
      <c r="E7" t="s">
        <v>30</v>
      </c>
      <c r="F7" s="2">
        <v>45808</v>
      </c>
      <c r="G7" t="s">
        <v>24</v>
      </c>
      <c r="J7" t="s">
        <v>1087</v>
      </c>
      <c r="K7" s="2">
        <v>45961</v>
      </c>
      <c r="O7" t="s">
        <v>251</v>
      </c>
      <c r="P7" t="s">
        <v>1177</v>
      </c>
      <c r="Q7" s="34">
        <v>1.4999999999999999E-2</v>
      </c>
      <c r="R7" s="34">
        <v>0.06</v>
      </c>
    </row>
    <row r="8" spans="1:18" x14ac:dyDescent="0.25">
      <c r="A8" t="s">
        <v>31</v>
      </c>
      <c r="B8" s="1" t="s">
        <v>32</v>
      </c>
      <c r="C8" t="s">
        <v>17</v>
      </c>
      <c r="D8" t="s">
        <v>33</v>
      </c>
      <c r="E8" t="s">
        <v>34</v>
      </c>
      <c r="F8" s="2">
        <v>45808</v>
      </c>
      <c r="G8" t="s">
        <v>20</v>
      </c>
      <c r="J8" t="b">
        <v>0</v>
      </c>
      <c r="K8" s="2">
        <v>45961</v>
      </c>
      <c r="P8" t="s">
        <v>1087</v>
      </c>
      <c r="Q8" s="34">
        <v>2.5000000000000001E-2</v>
      </c>
      <c r="R8" s="34">
        <v>0.05</v>
      </c>
    </row>
    <row r="9" spans="1:18" x14ac:dyDescent="0.25">
      <c r="A9" t="s">
        <v>35</v>
      </c>
      <c r="B9" s="1" t="s">
        <v>36</v>
      </c>
      <c r="C9" t="s">
        <v>17</v>
      </c>
      <c r="D9" t="s">
        <v>37</v>
      </c>
      <c r="E9" t="s">
        <v>38</v>
      </c>
      <c r="F9" s="2">
        <v>45808</v>
      </c>
      <c r="G9" t="s">
        <v>20</v>
      </c>
      <c r="J9" t="b">
        <v>0</v>
      </c>
      <c r="P9" t="s">
        <v>1087</v>
      </c>
      <c r="Q9" s="34">
        <v>0.02</v>
      </c>
      <c r="R9" s="34">
        <v>0.05</v>
      </c>
    </row>
    <row r="10" spans="1:18" x14ac:dyDescent="0.25">
      <c r="A10" t="s">
        <v>39</v>
      </c>
      <c r="B10" s="1">
        <v>597016</v>
      </c>
      <c r="C10" t="s">
        <v>17</v>
      </c>
      <c r="D10" t="s">
        <v>40</v>
      </c>
      <c r="E10" t="s">
        <v>41</v>
      </c>
      <c r="F10" s="2">
        <v>45808</v>
      </c>
      <c r="G10" t="s">
        <v>24</v>
      </c>
      <c r="J10" t="s">
        <v>1087</v>
      </c>
      <c r="O10" t="s">
        <v>251</v>
      </c>
      <c r="P10" t="s">
        <v>1178</v>
      </c>
      <c r="Q10" s="34">
        <v>0.01</v>
      </c>
      <c r="R10" s="34">
        <v>0.03</v>
      </c>
    </row>
    <row r="11" spans="1:18" x14ac:dyDescent="0.25">
      <c r="A11" t="s">
        <v>42</v>
      </c>
      <c r="B11" s="1">
        <v>686585</v>
      </c>
      <c r="C11" t="s">
        <v>17</v>
      </c>
      <c r="D11" t="s">
        <v>43</v>
      </c>
      <c r="E11" t="s">
        <v>44</v>
      </c>
      <c r="F11" s="2">
        <v>45808</v>
      </c>
      <c r="G11" t="s">
        <v>24</v>
      </c>
      <c r="J11" t="s">
        <v>1087</v>
      </c>
      <c r="O11" t="s">
        <v>251</v>
      </c>
      <c r="P11" t="s">
        <v>1179</v>
      </c>
      <c r="Q11" s="34">
        <v>0.01</v>
      </c>
      <c r="R11" s="34">
        <v>0.03</v>
      </c>
    </row>
    <row r="12" spans="1:18" x14ac:dyDescent="0.25">
      <c r="A12" t="s">
        <v>45</v>
      </c>
      <c r="B12" s="1">
        <v>597012</v>
      </c>
      <c r="C12" t="s">
        <v>17</v>
      </c>
      <c r="D12" t="s">
        <v>46</v>
      </c>
      <c r="E12" t="s">
        <v>47</v>
      </c>
      <c r="F12" s="2">
        <v>45808</v>
      </c>
      <c r="G12" t="s">
        <v>24</v>
      </c>
      <c r="J12" t="s">
        <v>1087</v>
      </c>
      <c r="O12" t="s">
        <v>251</v>
      </c>
      <c r="P12" t="s">
        <v>1180</v>
      </c>
      <c r="Q12" s="34">
        <v>0.01</v>
      </c>
      <c r="R12" s="34">
        <v>0.03</v>
      </c>
    </row>
    <row r="13" spans="1:18" x14ac:dyDescent="0.25">
      <c r="A13" t="s">
        <v>48</v>
      </c>
      <c r="B13" s="1">
        <v>597009</v>
      </c>
      <c r="C13" t="s">
        <v>17</v>
      </c>
      <c r="D13" t="s">
        <v>49</v>
      </c>
      <c r="E13" t="s">
        <v>50</v>
      </c>
      <c r="F13" s="2">
        <v>45808</v>
      </c>
      <c r="G13" t="s">
        <v>24</v>
      </c>
      <c r="J13" t="s">
        <v>1087</v>
      </c>
      <c r="O13" t="s">
        <v>251</v>
      </c>
      <c r="P13" t="s">
        <v>1181</v>
      </c>
      <c r="Q13" s="34">
        <v>0.01</v>
      </c>
      <c r="R13" s="34">
        <v>0.03</v>
      </c>
    </row>
    <row r="14" spans="1:18" x14ac:dyDescent="0.25">
      <c r="A14" t="s">
        <v>372</v>
      </c>
      <c r="B14" s="1">
        <v>724627</v>
      </c>
      <c r="C14" t="s">
        <v>17</v>
      </c>
      <c r="D14" t="s">
        <v>373</v>
      </c>
      <c r="E14" t="s">
        <v>374</v>
      </c>
      <c r="F14" s="2">
        <v>45808</v>
      </c>
      <c r="G14" t="s">
        <v>24</v>
      </c>
      <c r="J14" t="s">
        <v>1087</v>
      </c>
      <c r="L14" s="2">
        <v>45960</v>
      </c>
      <c r="O14" t="s">
        <v>251</v>
      </c>
      <c r="P14" t="s">
        <v>1251</v>
      </c>
      <c r="Q14" s="34">
        <v>0.02</v>
      </c>
      <c r="R14" s="34">
        <v>0.06</v>
      </c>
    </row>
    <row r="15" spans="1:18" x14ac:dyDescent="0.25">
      <c r="A15" t="s">
        <v>247</v>
      </c>
      <c r="B15" s="1" t="s">
        <v>248</v>
      </c>
      <c r="C15" t="s">
        <v>249</v>
      </c>
      <c r="D15" t="s">
        <v>250</v>
      </c>
      <c r="E15" s="18" t="s">
        <v>1254</v>
      </c>
      <c r="F15" s="2">
        <v>45808</v>
      </c>
      <c r="G15" t="s">
        <v>20</v>
      </c>
      <c r="J15" t="b">
        <v>1</v>
      </c>
      <c r="M15" t="b">
        <v>0</v>
      </c>
      <c r="O15" t="s">
        <v>251</v>
      </c>
      <c r="P15" t="s">
        <v>1087</v>
      </c>
      <c r="Q15" s="34">
        <v>0.03</v>
      </c>
      <c r="R15" s="34">
        <v>4.4999999999999998E-2</v>
      </c>
    </row>
    <row r="16" spans="1:18" x14ac:dyDescent="0.25">
      <c r="A16" t="s">
        <v>51</v>
      </c>
      <c r="B16" s="1" t="s">
        <v>52</v>
      </c>
      <c r="C16" t="s">
        <v>17</v>
      </c>
      <c r="D16" t="s">
        <v>53</v>
      </c>
      <c r="E16" t="s">
        <v>54</v>
      </c>
      <c r="F16" s="2">
        <v>45808</v>
      </c>
      <c r="G16" t="s">
        <v>20</v>
      </c>
      <c r="J16" t="b">
        <v>0</v>
      </c>
      <c r="P16" t="s">
        <v>1087</v>
      </c>
      <c r="Q16" s="34">
        <v>1.4999999999999999E-2</v>
      </c>
      <c r="R16" s="34">
        <v>0.06</v>
      </c>
    </row>
    <row r="17" spans="1:18" x14ac:dyDescent="0.25">
      <c r="A17" t="s">
        <v>55</v>
      </c>
      <c r="B17" s="1" t="s">
        <v>56</v>
      </c>
      <c r="C17" t="s">
        <v>17</v>
      </c>
      <c r="D17" t="s">
        <v>57</v>
      </c>
      <c r="E17" t="s">
        <v>58</v>
      </c>
      <c r="F17" s="2">
        <v>45808</v>
      </c>
      <c r="G17" t="s">
        <v>20</v>
      </c>
      <c r="J17" t="b">
        <v>0</v>
      </c>
      <c r="P17" t="s">
        <v>1087</v>
      </c>
      <c r="Q17" s="34">
        <v>2.5000000000000001E-2</v>
      </c>
      <c r="R17" s="34">
        <v>0.05</v>
      </c>
    </row>
    <row r="18" spans="1:18" x14ac:dyDescent="0.25">
      <c r="A18" t="s">
        <v>59</v>
      </c>
      <c r="B18" s="1" t="s">
        <v>60</v>
      </c>
      <c r="C18" t="s">
        <v>17</v>
      </c>
      <c r="D18" t="s">
        <v>61</v>
      </c>
      <c r="E18" t="s">
        <v>62</v>
      </c>
      <c r="F18" s="2">
        <v>45808</v>
      </c>
      <c r="G18" t="s">
        <v>20</v>
      </c>
      <c r="J18" t="b">
        <v>1</v>
      </c>
      <c r="M18" t="b">
        <v>0</v>
      </c>
      <c r="N18" t="b">
        <v>1</v>
      </c>
      <c r="P18" t="s">
        <v>1087</v>
      </c>
      <c r="Q18" s="34">
        <v>2.5000000000000001E-2</v>
      </c>
      <c r="R18" s="34">
        <v>0.06</v>
      </c>
    </row>
    <row r="19" spans="1:18" x14ac:dyDescent="0.25">
      <c r="A19" t="s">
        <v>63</v>
      </c>
      <c r="B19" s="1">
        <v>714548</v>
      </c>
      <c r="C19" t="s">
        <v>17</v>
      </c>
      <c r="D19" t="s">
        <v>64</v>
      </c>
      <c r="E19" t="s">
        <v>54</v>
      </c>
      <c r="F19" s="2">
        <v>45808</v>
      </c>
      <c r="G19" t="s">
        <v>24</v>
      </c>
      <c r="J19" t="s">
        <v>1087</v>
      </c>
      <c r="O19" t="s">
        <v>251</v>
      </c>
      <c r="P19" t="s">
        <v>1182</v>
      </c>
      <c r="Q19" s="34">
        <v>0.02</v>
      </c>
      <c r="R19" s="34">
        <v>7.0000000000000007E-2</v>
      </c>
    </row>
    <row r="20" spans="1:18" x14ac:dyDescent="0.25">
      <c r="A20" t="s">
        <v>65</v>
      </c>
      <c r="B20" s="1">
        <v>716407</v>
      </c>
      <c r="C20" t="s">
        <v>17</v>
      </c>
      <c r="D20" t="s">
        <v>66</v>
      </c>
      <c r="E20" t="s">
        <v>67</v>
      </c>
      <c r="F20" s="2">
        <v>45808</v>
      </c>
      <c r="G20" t="s">
        <v>24</v>
      </c>
      <c r="J20" t="s">
        <v>1087</v>
      </c>
      <c r="O20" t="s">
        <v>251</v>
      </c>
      <c r="P20" t="s">
        <v>1183</v>
      </c>
      <c r="Q20" s="34">
        <v>2.5000000000000001E-2</v>
      </c>
      <c r="R20" s="34">
        <v>0.04</v>
      </c>
    </row>
    <row r="21" spans="1:18" x14ac:dyDescent="0.25">
      <c r="A21" t="s">
        <v>68</v>
      </c>
      <c r="B21" s="1">
        <v>701535</v>
      </c>
      <c r="C21" t="s">
        <v>17</v>
      </c>
      <c r="D21" t="s">
        <v>69</v>
      </c>
      <c r="E21" t="s">
        <v>54</v>
      </c>
      <c r="F21" s="2">
        <v>45808</v>
      </c>
      <c r="G21" t="s">
        <v>24</v>
      </c>
      <c r="J21" t="s">
        <v>1087</v>
      </c>
      <c r="O21" t="s">
        <v>251</v>
      </c>
      <c r="P21" t="s">
        <v>1184</v>
      </c>
      <c r="Q21" s="34">
        <v>2.5000000000000001E-2</v>
      </c>
      <c r="R21" s="34">
        <v>0.1</v>
      </c>
    </row>
    <row r="22" spans="1:18" x14ac:dyDescent="0.25">
      <c r="A22" t="s">
        <v>255</v>
      </c>
      <c r="B22" s="1" t="s">
        <v>256</v>
      </c>
      <c r="C22" t="s">
        <v>249</v>
      </c>
      <c r="D22" t="s">
        <v>257</v>
      </c>
      <c r="E22" t="s">
        <v>258</v>
      </c>
      <c r="F22" s="2">
        <v>45808</v>
      </c>
      <c r="G22" t="s">
        <v>20</v>
      </c>
      <c r="J22" t="b">
        <v>0</v>
      </c>
      <c r="K22" s="2">
        <v>45808</v>
      </c>
      <c r="L22" s="2"/>
      <c r="O22" t="s">
        <v>251</v>
      </c>
      <c r="P22" t="s">
        <v>1087</v>
      </c>
      <c r="Q22" s="34">
        <v>2.2000000000000002E-2</v>
      </c>
      <c r="R22" s="34" t="e">
        <v>#N/A</v>
      </c>
    </row>
    <row r="23" spans="1:18" x14ac:dyDescent="0.25">
      <c r="A23" t="s">
        <v>70</v>
      </c>
      <c r="B23" s="1" t="s">
        <v>71</v>
      </c>
      <c r="C23" t="s">
        <v>17</v>
      </c>
      <c r="D23" t="s">
        <v>72</v>
      </c>
      <c r="E23" t="s">
        <v>73</v>
      </c>
      <c r="F23" s="2">
        <v>45808</v>
      </c>
      <c r="G23" t="s">
        <v>20</v>
      </c>
      <c r="J23" t="b">
        <v>1</v>
      </c>
      <c r="N23" t="b">
        <v>1</v>
      </c>
      <c r="P23" t="s">
        <v>1087</v>
      </c>
      <c r="Q23" s="34">
        <v>0.05</v>
      </c>
      <c r="R23" s="34">
        <v>0.1</v>
      </c>
    </row>
    <row r="24" spans="1:18" x14ac:dyDescent="0.25">
      <c r="A24" t="s">
        <v>74</v>
      </c>
      <c r="B24" s="1" t="s">
        <v>75</v>
      </c>
      <c r="C24" t="s">
        <v>17</v>
      </c>
      <c r="D24" t="s">
        <v>76</v>
      </c>
      <c r="E24" t="s">
        <v>44</v>
      </c>
      <c r="F24" s="2">
        <v>45808</v>
      </c>
      <c r="G24" t="s">
        <v>20</v>
      </c>
      <c r="J24" t="b">
        <v>0</v>
      </c>
      <c r="K24" s="2">
        <v>45869</v>
      </c>
      <c r="P24" t="s">
        <v>1087</v>
      </c>
      <c r="Q24" s="34">
        <v>1.4999999999999999E-2</v>
      </c>
      <c r="R24" s="34" t="e">
        <v>#N/A</v>
      </c>
    </row>
    <row r="25" spans="1:18" x14ac:dyDescent="0.25">
      <c r="A25" t="s">
        <v>77</v>
      </c>
      <c r="B25" s="1" t="s">
        <v>78</v>
      </c>
      <c r="C25" t="s">
        <v>17</v>
      </c>
      <c r="D25" t="s">
        <v>79</v>
      </c>
      <c r="E25" t="s">
        <v>80</v>
      </c>
      <c r="F25" s="2">
        <v>45808</v>
      </c>
      <c r="G25" t="s">
        <v>20</v>
      </c>
      <c r="J25" t="b">
        <v>0</v>
      </c>
      <c r="P25" t="s">
        <v>1087</v>
      </c>
      <c r="Q25" s="34">
        <v>2.5000000000000001E-2</v>
      </c>
      <c r="R25" s="34">
        <v>5.5E-2</v>
      </c>
    </row>
    <row r="26" spans="1:18" x14ac:dyDescent="0.25">
      <c r="A26" t="s">
        <v>369</v>
      </c>
      <c r="B26" s="1">
        <v>724572</v>
      </c>
      <c r="C26" t="s">
        <v>17</v>
      </c>
      <c r="D26" t="s">
        <v>370</v>
      </c>
      <c r="E26" t="s">
        <v>371</v>
      </c>
      <c r="F26" s="2">
        <v>45808</v>
      </c>
      <c r="G26" t="s">
        <v>24</v>
      </c>
      <c r="J26" t="s">
        <v>1087</v>
      </c>
      <c r="O26" t="s">
        <v>251</v>
      </c>
      <c r="P26" t="s">
        <v>1250</v>
      </c>
      <c r="Q26" s="34">
        <v>1.4999999999999999E-2</v>
      </c>
      <c r="R26" s="34">
        <v>0.06</v>
      </c>
    </row>
    <row r="27" spans="1:18" x14ac:dyDescent="0.25">
      <c r="A27" t="s">
        <v>259</v>
      </c>
      <c r="B27" s="1" t="s">
        <v>260</v>
      </c>
      <c r="C27" t="s">
        <v>249</v>
      </c>
      <c r="D27" t="s">
        <v>261</v>
      </c>
      <c r="E27" t="s">
        <v>262</v>
      </c>
      <c r="F27" s="2">
        <v>45808</v>
      </c>
      <c r="G27" t="s">
        <v>24</v>
      </c>
      <c r="J27" t="s">
        <v>1087</v>
      </c>
      <c r="O27" t="s">
        <v>251</v>
      </c>
      <c r="P27" t="s">
        <v>1228</v>
      </c>
      <c r="Q27" s="34">
        <v>8.0000000000000002E-3</v>
      </c>
      <c r="R27" s="34">
        <v>0.02</v>
      </c>
    </row>
    <row r="28" spans="1:18" x14ac:dyDescent="0.25">
      <c r="A28" t="s">
        <v>263</v>
      </c>
      <c r="B28" s="1" t="s">
        <v>264</v>
      </c>
      <c r="C28" t="s">
        <v>249</v>
      </c>
      <c r="D28" t="s">
        <v>265</v>
      </c>
      <c r="E28" t="s">
        <v>266</v>
      </c>
      <c r="F28" s="2">
        <v>45808</v>
      </c>
      <c r="G28" t="s">
        <v>20</v>
      </c>
      <c r="J28" t="b">
        <v>0</v>
      </c>
      <c r="M28" t="b">
        <v>0</v>
      </c>
      <c r="O28" t="s">
        <v>251</v>
      </c>
      <c r="P28" t="s">
        <v>1087</v>
      </c>
      <c r="Q28" s="34">
        <v>1.4999999999999999E-2</v>
      </c>
      <c r="R28" s="34">
        <v>2.2000000000000002E-2</v>
      </c>
    </row>
    <row r="29" spans="1:18" x14ac:dyDescent="0.25">
      <c r="A29" t="s">
        <v>267</v>
      </c>
      <c r="B29" s="1">
        <v>689939</v>
      </c>
      <c r="C29" t="s">
        <v>249</v>
      </c>
      <c r="D29" t="s">
        <v>268</v>
      </c>
      <c r="E29" t="s">
        <v>269</v>
      </c>
      <c r="F29" s="2">
        <v>45808</v>
      </c>
      <c r="G29" t="s">
        <v>24</v>
      </c>
      <c r="J29" t="s">
        <v>1087</v>
      </c>
      <c r="O29" t="s">
        <v>251</v>
      </c>
      <c r="P29" t="s">
        <v>1229</v>
      </c>
      <c r="Q29" s="34">
        <v>1.4999999999999999E-2</v>
      </c>
      <c r="R29" s="34">
        <v>1.8000000000000002E-2</v>
      </c>
    </row>
    <row r="30" spans="1:18" x14ac:dyDescent="0.25">
      <c r="A30" t="s">
        <v>362</v>
      </c>
      <c r="B30" s="1">
        <v>722285</v>
      </c>
      <c r="C30" t="s">
        <v>17</v>
      </c>
      <c r="D30" t="s">
        <v>363</v>
      </c>
      <c r="E30" t="s">
        <v>364</v>
      </c>
      <c r="F30" s="2">
        <v>45808</v>
      </c>
      <c r="G30" t="s">
        <v>24</v>
      </c>
      <c r="J30" t="s">
        <v>1087</v>
      </c>
      <c r="O30" t="s">
        <v>251</v>
      </c>
      <c r="P30" t="s">
        <v>1248</v>
      </c>
      <c r="Q30" s="34">
        <v>1.4999999999999999E-2</v>
      </c>
      <c r="R30" s="34">
        <v>0.06</v>
      </c>
    </row>
    <row r="31" spans="1:18" x14ac:dyDescent="0.25">
      <c r="A31" t="s">
        <v>270</v>
      </c>
      <c r="B31" s="1">
        <v>692350</v>
      </c>
      <c r="C31" t="s">
        <v>249</v>
      </c>
      <c r="D31" t="s">
        <v>271</v>
      </c>
      <c r="E31" t="s">
        <v>272</v>
      </c>
      <c r="F31" s="2">
        <v>45808</v>
      </c>
      <c r="G31" t="s">
        <v>24</v>
      </c>
      <c r="J31" t="s">
        <v>1087</v>
      </c>
      <c r="O31" t="s">
        <v>289</v>
      </c>
      <c r="P31" t="s">
        <v>1230</v>
      </c>
      <c r="Q31" s="34">
        <v>0.01</v>
      </c>
      <c r="R31" s="34">
        <v>0.03</v>
      </c>
    </row>
    <row r="32" spans="1:18" x14ac:dyDescent="0.25">
      <c r="A32" t="s">
        <v>273</v>
      </c>
      <c r="B32" s="1" t="s">
        <v>274</v>
      </c>
      <c r="C32" t="s">
        <v>249</v>
      </c>
      <c r="D32" t="s">
        <v>275</v>
      </c>
      <c r="E32" t="s">
        <v>276</v>
      </c>
      <c r="F32" s="2">
        <v>45808</v>
      </c>
      <c r="G32" t="s">
        <v>24</v>
      </c>
      <c r="J32" t="s">
        <v>1087</v>
      </c>
      <c r="O32" t="s">
        <v>251</v>
      </c>
      <c r="P32" t="s">
        <v>1231</v>
      </c>
      <c r="Q32" s="34">
        <v>7.4999999999999997E-3</v>
      </c>
      <c r="R32" s="34">
        <v>0.02</v>
      </c>
    </row>
    <row r="33" spans="1:18" x14ac:dyDescent="0.25">
      <c r="A33" t="s">
        <v>277</v>
      </c>
      <c r="B33" s="1">
        <v>681724</v>
      </c>
      <c r="C33" t="s">
        <v>249</v>
      </c>
      <c r="D33" t="s">
        <v>278</v>
      </c>
      <c r="E33" t="s">
        <v>279</v>
      </c>
      <c r="F33" s="2">
        <v>45808</v>
      </c>
      <c r="G33" t="s">
        <v>24</v>
      </c>
      <c r="J33" t="s">
        <v>1087</v>
      </c>
      <c r="O33" t="s">
        <v>289</v>
      </c>
      <c r="P33" t="s">
        <v>1232</v>
      </c>
      <c r="Q33" s="34">
        <v>5.0000000000000001E-3</v>
      </c>
      <c r="R33" s="34">
        <v>0.01</v>
      </c>
    </row>
    <row r="34" spans="1:18" x14ac:dyDescent="0.25">
      <c r="A34" t="s">
        <v>81</v>
      </c>
      <c r="B34" s="1">
        <v>642651</v>
      </c>
      <c r="C34" t="s">
        <v>17</v>
      </c>
      <c r="D34" t="s">
        <v>82</v>
      </c>
      <c r="E34" t="s">
        <v>83</v>
      </c>
      <c r="F34" s="2">
        <v>45808</v>
      </c>
      <c r="G34" t="s">
        <v>24</v>
      </c>
      <c r="J34" t="s">
        <v>1087</v>
      </c>
      <c r="O34" t="s">
        <v>251</v>
      </c>
      <c r="P34" t="s">
        <v>1185</v>
      </c>
      <c r="Q34" s="34">
        <v>0.02</v>
      </c>
      <c r="R34" s="34">
        <v>0.05</v>
      </c>
    </row>
    <row r="35" spans="1:18" x14ac:dyDescent="0.25">
      <c r="A35" t="s">
        <v>84</v>
      </c>
      <c r="B35" s="1">
        <v>596990</v>
      </c>
      <c r="C35" t="s">
        <v>17</v>
      </c>
      <c r="D35" t="s">
        <v>85</v>
      </c>
      <c r="E35" t="s">
        <v>86</v>
      </c>
      <c r="F35" s="2">
        <v>45808</v>
      </c>
      <c r="G35" t="s">
        <v>24</v>
      </c>
      <c r="J35" t="s">
        <v>1087</v>
      </c>
      <c r="O35" t="s">
        <v>251</v>
      </c>
      <c r="P35" t="s">
        <v>1186</v>
      </c>
      <c r="Q35" s="34">
        <v>5.0000000000000001E-3</v>
      </c>
      <c r="R35" s="34">
        <v>0.02</v>
      </c>
    </row>
    <row r="36" spans="1:18" x14ac:dyDescent="0.25">
      <c r="A36" t="s">
        <v>87</v>
      </c>
      <c r="B36" s="1">
        <v>712560</v>
      </c>
      <c r="C36" t="s">
        <v>17</v>
      </c>
      <c r="D36" t="s">
        <v>88</v>
      </c>
      <c r="E36" t="s">
        <v>50</v>
      </c>
      <c r="F36" s="2">
        <v>45808</v>
      </c>
      <c r="G36" t="s">
        <v>24</v>
      </c>
      <c r="J36" t="s">
        <v>1087</v>
      </c>
      <c r="O36" t="s">
        <v>289</v>
      </c>
      <c r="P36" t="s">
        <v>1187</v>
      </c>
      <c r="Q36" s="34">
        <v>0.02</v>
      </c>
      <c r="R36" s="34">
        <v>0.05</v>
      </c>
    </row>
    <row r="37" spans="1:18" x14ac:dyDescent="0.25">
      <c r="A37" t="s">
        <v>89</v>
      </c>
      <c r="B37" s="1" t="s">
        <v>90</v>
      </c>
      <c r="C37" t="s">
        <v>17</v>
      </c>
      <c r="D37" t="s">
        <v>91</v>
      </c>
      <c r="E37" t="s">
        <v>92</v>
      </c>
      <c r="F37" s="2">
        <v>45808</v>
      </c>
      <c r="G37" t="s">
        <v>20</v>
      </c>
      <c r="H37" t="b">
        <v>1</v>
      </c>
      <c r="I37" s="7" t="s">
        <v>93</v>
      </c>
      <c r="J37" t="b">
        <v>0</v>
      </c>
      <c r="P37" t="s">
        <v>1087</v>
      </c>
      <c r="Q37" s="34">
        <v>0.02</v>
      </c>
      <c r="R37" s="34" t="e">
        <v>#N/A</v>
      </c>
    </row>
    <row r="38" spans="1:18" x14ac:dyDescent="0.25">
      <c r="A38" t="s">
        <v>94</v>
      </c>
      <c r="B38" s="1">
        <v>711342</v>
      </c>
      <c r="C38" t="s">
        <v>17</v>
      </c>
      <c r="D38" t="s">
        <v>95</v>
      </c>
      <c r="E38" t="s">
        <v>96</v>
      </c>
      <c r="F38" s="2">
        <v>45808</v>
      </c>
      <c r="G38" t="s">
        <v>24</v>
      </c>
      <c r="J38" t="s">
        <v>1087</v>
      </c>
      <c r="K38" s="2">
        <v>45838</v>
      </c>
      <c r="O38" t="s">
        <v>251</v>
      </c>
      <c r="P38" t="s">
        <v>1188</v>
      </c>
      <c r="Q38" s="34">
        <v>0.02</v>
      </c>
      <c r="R38" s="34">
        <v>0.04</v>
      </c>
    </row>
    <row r="39" spans="1:18" x14ac:dyDescent="0.25">
      <c r="A39" t="s">
        <v>97</v>
      </c>
      <c r="B39" s="1" t="s">
        <v>98</v>
      </c>
      <c r="C39" t="s">
        <v>17</v>
      </c>
      <c r="D39" t="s">
        <v>99</v>
      </c>
      <c r="E39" t="s">
        <v>23</v>
      </c>
      <c r="F39" s="2">
        <v>45808</v>
      </c>
      <c r="G39" t="s">
        <v>20</v>
      </c>
      <c r="J39" t="b">
        <v>0</v>
      </c>
      <c r="P39" t="s">
        <v>1087</v>
      </c>
      <c r="Q39" s="34">
        <v>0.02</v>
      </c>
      <c r="R39" s="34">
        <v>0.04</v>
      </c>
    </row>
    <row r="40" spans="1:18" x14ac:dyDescent="0.25">
      <c r="A40" t="s">
        <v>100</v>
      </c>
      <c r="B40" s="1" t="s">
        <v>101</v>
      </c>
      <c r="C40" t="s">
        <v>17</v>
      </c>
      <c r="D40" t="s">
        <v>102</v>
      </c>
      <c r="E40" t="s">
        <v>103</v>
      </c>
      <c r="F40" s="2">
        <v>45808</v>
      </c>
      <c r="G40" t="s">
        <v>20</v>
      </c>
      <c r="H40" t="b">
        <v>1</v>
      </c>
      <c r="I40" s="7" t="s">
        <v>104</v>
      </c>
      <c r="J40" t="b">
        <v>0</v>
      </c>
      <c r="P40" t="s">
        <v>1087</v>
      </c>
      <c r="Q40" s="34">
        <v>0.02</v>
      </c>
      <c r="R40" s="34" t="e">
        <v>#N/A</v>
      </c>
    </row>
    <row r="41" spans="1:18" x14ac:dyDescent="0.25">
      <c r="A41" t="s">
        <v>105</v>
      </c>
      <c r="B41" s="1" t="s">
        <v>106</v>
      </c>
      <c r="C41" t="s">
        <v>17</v>
      </c>
      <c r="D41" t="s">
        <v>107</v>
      </c>
      <c r="E41" t="s">
        <v>23</v>
      </c>
      <c r="F41" s="2">
        <v>45808</v>
      </c>
      <c r="G41" t="s">
        <v>20</v>
      </c>
      <c r="J41" t="b">
        <v>0</v>
      </c>
      <c r="P41" t="s">
        <v>1087</v>
      </c>
      <c r="Q41" s="34">
        <v>1.4999999999999999E-2</v>
      </c>
      <c r="R41" s="34">
        <v>2.5000000000000001E-2</v>
      </c>
    </row>
    <row r="42" spans="1:18" x14ac:dyDescent="0.25">
      <c r="A42" t="s">
        <v>108</v>
      </c>
      <c r="B42" s="1" t="s">
        <v>109</v>
      </c>
      <c r="C42" t="s">
        <v>17</v>
      </c>
      <c r="D42" t="s">
        <v>110</v>
      </c>
      <c r="E42" t="s">
        <v>34</v>
      </c>
      <c r="F42" s="2">
        <v>45808</v>
      </c>
      <c r="G42" t="s">
        <v>20</v>
      </c>
      <c r="J42" t="b">
        <v>0</v>
      </c>
      <c r="P42" t="s">
        <v>1087</v>
      </c>
      <c r="Q42" s="34">
        <v>1.4999999999999999E-2</v>
      </c>
      <c r="R42" s="34">
        <v>0.04</v>
      </c>
    </row>
    <row r="43" spans="1:18" x14ac:dyDescent="0.25">
      <c r="A43" t="s">
        <v>111</v>
      </c>
      <c r="B43" s="1">
        <v>707638</v>
      </c>
      <c r="C43" t="s">
        <v>17</v>
      </c>
      <c r="D43" t="s">
        <v>112</v>
      </c>
      <c r="E43" t="s">
        <v>113</v>
      </c>
      <c r="F43" s="2">
        <v>45808</v>
      </c>
      <c r="G43" t="s">
        <v>24</v>
      </c>
      <c r="J43" t="s">
        <v>1087</v>
      </c>
      <c r="K43" s="2">
        <v>45869</v>
      </c>
      <c r="O43" t="s">
        <v>251</v>
      </c>
      <c r="P43" t="s">
        <v>1189</v>
      </c>
      <c r="Q43" s="34">
        <v>0.02</v>
      </c>
      <c r="R43" s="34" t="e">
        <v>#N/A</v>
      </c>
    </row>
    <row r="44" spans="1:18" x14ac:dyDescent="0.25">
      <c r="A44" t="s">
        <v>114</v>
      </c>
      <c r="B44" s="1">
        <v>714703</v>
      </c>
      <c r="C44" t="s">
        <v>17</v>
      </c>
      <c r="D44" t="s">
        <v>115</v>
      </c>
      <c r="E44" t="s">
        <v>116</v>
      </c>
      <c r="F44" s="2">
        <v>45808</v>
      </c>
      <c r="G44" t="s">
        <v>24</v>
      </c>
      <c r="J44" t="s">
        <v>1087</v>
      </c>
      <c r="O44" t="s">
        <v>251</v>
      </c>
      <c r="P44" t="s">
        <v>1190</v>
      </c>
      <c r="Q44" s="34">
        <v>1.4999999999999999E-2</v>
      </c>
      <c r="R44" s="34">
        <v>0.05</v>
      </c>
    </row>
    <row r="45" spans="1:18" x14ac:dyDescent="0.25">
      <c r="A45" t="s">
        <v>360</v>
      </c>
      <c r="B45" s="1">
        <v>718928</v>
      </c>
      <c r="C45" t="s">
        <v>17</v>
      </c>
      <c r="D45" t="s">
        <v>361</v>
      </c>
      <c r="E45" t="s">
        <v>241</v>
      </c>
      <c r="F45" s="2">
        <v>45808</v>
      </c>
      <c r="G45" t="s">
        <v>24</v>
      </c>
      <c r="J45" t="s">
        <v>1087</v>
      </c>
      <c r="O45" t="s">
        <v>251</v>
      </c>
      <c r="P45" t="s">
        <v>1247</v>
      </c>
      <c r="Q45" s="34">
        <v>1.4999999999999999E-2</v>
      </c>
      <c r="R45" s="34">
        <v>0.05</v>
      </c>
    </row>
    <row r="46" spans="1:18" x14ac:dyDescent="0.25">
      <c r="A46" t="s">
        <v>117</v>
      </c>
      <c r="B46" s="1" t="s">
        <v>118</v>
      </c>
      <c r="C46" t="s">
        <v>17</v>
      </c>
      <c r="D46" t="s">
        <v>119</v>
      </c>
      <c r="E46" t="s">
        <v>120</v>
      </c>
      <c r="F46" s="2">
        <v>45808</v>
      </c>
      <c r="G46" t="s">
        <v>20</v>
      </c>
      <c r="J46" t="b">
        <v>0</v>
      </c>
      <c r="M46" t="b">
        <v>0</v>
      </c>
      <c r="N46" t="b">
        <v>1</v>
      </c>
      <c r="P46" t="s">
        <v>1087</v>
      </c>
      <c r="Q46" s="34">
        <v>0.02</v>
      </c>
      <c r="R46" s="34">
        <v>0.06</v>
      </c>
    </row>
    <row r="47" spans="1:18" x14ac:dyDescent="0.25">
      <c r="A47" t="s">
        <v>121</v>
      </c>
      <c r="B47" s="1">
        <v>716405</v>
      </c>
      <c r="C47" t="s">
        <v>17</v>
      </c>
      <c r="D47" t="s">
        <v>122</v>
      </c>
      <c r="E47" t="s">
        <v>73</v>
      </c>
      <c r="F47" s="2">
        <v>45808</v>
      </c>
      <c r="G47" t="s">
        <v>24</v>
      </c>
      <c r="J47" t="s">
        <v>1087</v>
      </c>
      <c r="O47" t="s">
        <v>251</v>
      </c>
      <c r="P47" t="s">
        <v>1191</v>
      </c>
      <c r="Q47" s="34">
        <v>0.05</v>
      </c>
      <c r="R47" s="34">
        <v>0.08</v>
      </c>
    </row>
    <row r="48" spans="1:18" x14ac:dyDescent="0.25">
      <c r="A48" t="s">
        <v>123</v>
      </c>
      <c r="B48" s="1" t="s">
        <v>124</v>
      </c>
      <c r="C48" t="s">
        <v>17</v>
      </c>
      <c r="D48" t="s">
        <v>125</v>
      </c>
      <c r="E48" t="s">
        <v>126</v>
      </c>
      <c r="F48" s="2">
        <v>45808</v>
      </c>
      <c r="G48" t="s">
        <v>20</v>
      </c>
      <c r="J48" t="b">
        <v>0</v>
      </c>
      <c r="P48" t="s">
        <v>1087</v>
      </c>
      <c r="Q48" s="34">
        <v>3.5000000000000003E-2</v>
      </c>
      <c r="R48" s="34">
        <v>6.5000000000000002E-2</v>
      </c>
    </row>
    <row r="49" spans="1:18" x14ac:dyDescent="0.25">
      <c r="A49" t="s">
        <v>375</v>
      </c>
      <c r="B49" s="1" t="s">
        <v>376</v>
      </c>
      <c r="C49" t="s">
        <v>17</v>
      </c>
      <c r="D49" t="s">
        <v>377</v>
      </c>
      <c r="E49" t="s">
        <v>129</v>
      </c>
      <c r="F49" s="2">
        <v>45808</v>
      </c>
      <c r="G49" t="s">
        <v>20</v>
      </c>
      <c r="J49" t="b">
        <v>0</v>
      </c>
      <c r="P49" t="s">
        <v>1087</v>
      </c>
      <c r="Q49" s="34">
        <v>0.04</v>
      </c>
      <c r="R49" s="34">
        <v>0.08</v>
      </c>
    </row>
    <row r="50" spans="1:18" x14ac:dyDescent="0.25">
      <c r="A50" t="s">
        <v>280</v>
      </c>
      <c r="B50" s="1" t="s">
        <v>281</v>
      </c>
      <c r="C50" t="s">
        <v>249</v>
      </c>
      <c r="D50" t="s">
        <v>282</v>
      </c>
      <c r="E50" t="s">
        <v>283</v>
      </c>
      <c r="F50" s="2">
        <v>45808</v>
      </c>
      <c r="G50" t="s">
        <v>20</v>
      </c>
      <c r="H50" t="b">
        <v>1</v>
      </c>
      <c r="I50" s="7" t="s">
        <v>284</v>
      </c>
      <c r="J50" t="b">
        <v>1</v>
      </c>
      <c r="N50" t="b">
        <v>1</v>
      </c>
      <c r="O50" t="s">
        <v>251</v>
      </c>
      <c r="P50" t="s">
        <v>1087</v>
      </c>
      <c r="Q50" s="34">
        <v>1.8000000000000002E-2</v>
      </c>
      <c r="R50" s="34" t="e">
        <v>#N/A</v>
      </c>
    </row>
    <row r="51" spans="1:18" x14ac:dyDescent="0.25">
      <c r="A51" t="s">
        <v>127</v>
      </c>
      <c r="B51" s="1">
        <v>708787</v>
      </c>
      <c r="C51" t="s">
        <v>17</v>
      </c>
      <c r="D51" t="s">
        <v>128</v>
      </c>
      <c r="E51" t="s">
        <v>129</v>
      </c>
      <c r="F51" s="2">
        <v>45808</v>
      </c>
      <c r="G51" t="s">
        <v>24</v>
      </c>
      <c r="J51" t="s">
        <v>1087</v>
      </c>
      <c r="O51" t="s">
        <v>251</v>
      </c>
      <c r="P51" t="s">
        <v>1192</v>
      </c>
      <c r="Q51" s="34">
        <v>0.03</v>
      </c>
      <c r="R51" s="34">
        <v>0.05</v>
      </c>
    </row>
    <row r="52" spans="1:18" x14ac:dyDescent="0.25">
      <c r="A52" t="s">
        <v>130</v>
      </c>
      <c r="B52" s="1">
        <v>714113</v>
      </c>
      <c r="C52" t="s">
        <v>17</v>
      </c>
      <c r="D52" t="s">
        <v>131</v>
      </c>
      <c r="E52" t="s">
        <v>19</v>
      </c>
      <c r="F52" s="2">
        <v>45808</v>
      </c>
      <c r="G52" t="s">
        <v>24</v>
      </c>
      <c r="J52" t="s">
        <v>1087</v>
      </c>
      <c r="O52" t="s">
        <v>251</v>
      </c>
      <c r="P52" t="s">
        <v>1193</v>
      </c>
      <c r="Q52" s="34">
        <v>0.04</v>
      </c>
      <c r="R52" s="34">
        <v>0.06</v>
      </c>
    </row>
    <row r="53" spans="1:18" x14ac:dyDescent="0.25">
      <c r="A53" t="s">
        <v>132</v>
      </c>
      <c r="B53" s="1">
        <v>716542</v>
      </c>
      <c r="C53" t="s">
        <v>17</v>
      </c>
      <c r="D53" t="s">
        <v>133</v>
      </c>
      <c r="E53" t="s">
        <v>134</v>
      </c>
      <c r="F53" s="2">
        <v>45808</v>
      </c>
      <c r="G53" t="s">
        <v>24</v>
      </c>
      <c r="J53" t="s">
        <v>1087</v>
      </c>
      <c r="K53" s="2">
        <v>45991</v>
      </c>
      <c r="O53" t="s">
        <v>289</v>
      </c>
      <c r="P53" t="s">
        <v>1194</v>
      </c>
      <c r="Q53" s="34">
        <v>0.02</v>
      </c>
      <c r="R53" s="34">
        <v>0.06</v>
      </c>
    </row>
    <row r="54" spans="1:18" x14ac:dyDescent="0.25">
      <c r="A54" t="s">
        <v>135</v>
      </c>
      <c r="B54" s="1" t="s">
        <v>136</v>
      </c>
      <c r="C54" t="s">
        <v>17</v>
      </c>
      <c r="D54" t="s">
        <v>137</v>
      </c>
      <c r="E54" t="s">
        <v>41</v>
      </c>
      <c r="F54" s="2">
        <v>45808</v>
      </c>
      <c r="G54" t="s">
        <v>20</v>
      </c>
      <c r="J54" t="b">
        <v>0</v>
      </c>
      <c r="K54" s="2">
        <v>46142</v>
      </c>
      <c r="P54" t="s">
        <v>1087</v>
      </c>
      <c r="Q54" s="34">
        <v>1.4999999999999999E-2</v>
      </c>
      <c r="R54" s="34">
        <v>0.04</v>
      </c>
    </row>
    <row r="55" spans="1:18" x14ac:dyDescent="0.25">
      <c r="A55" t="s">
        <v>138</v>
      </c>
      <c r="B55" s="1">
        <v>718556</v>
      </c>
      <c r="C55" t="s">
        <v>17</v>
      </c>
      <c r="D55" t="s">
        <v>139</v>
      </c>
      <c r="E55" t="s">
        <v>140</v>
      </c>
      <c r="F55" s="2">
        <v>45808</v>
      </c>
      <c r="G55" t="s">
        <v>24</v>
      </c>
      <c r="J55" t="s">
        <v>1087</v>
      </c>
      <c r="O55" t="s">
        <v>251</v>
      </c>
      <c r="P55" t="s">
        <v>1195</v>
      </c>
      <c r="Q55" s="34">
        <v>1.4999999999999999E-2</v>
      </c>
      <c r="R55" s="34">
        <v>0.05</v>
      </c>
    </row>
    <row r="56" spans="1:18" x14ac:dyDescent="0.25">
      <c r="A56" t="s">
        <v>141</v>
      </c>
      <c r="B56" s="1">
        <v>693765</v>
      </c>
      <c r="C56" t="s">
        <v>17</v>
      </c>
      <c r="D56" t="s">
        <v>142</v>
      </c>
      <c r="E56" t="s">
        <v>103</v>
      </c>
      <c r="F56" s="2">
        <v>45808</v>
      </c>
      <c r="G56" t="s">
        <v>24</v>
      </c>
      <c r="J56" t="s">
        <v>1087</v>
      </c>
      <c r="K56" s="2">
        <v>45900</v>
      </c>
      <c r="O56" t="s">
        <v>251</v>
      </c>
      <c r="P56" t="s">
        <v>1196</v>
      </c>
      <c r="Q56" s="34">
        <v>0.02</v>
      </c>
      <c r="R56" s="34" t="e">
        <v>#N/A</v>
      </c>
    </row>
    <row r="57" spans="1:18" x14ac:dyDescent="0.25">
      <c r="A57" t="s">
        <v>143</v>
      </c>
      <c r="B57" s="1">
        <v>682593</v>
      </c>
      <c r="C57" t="s">
        <v>17</v>
      </c>
      <c r="D57" t="s">
        <v>144</v>
      </c>
      <c r="E57" t="s">
        <v>145</v>
      </c>
      <c r="F57" s="2">
        <v>45808</v>
      </c>
      <c r="G57" t="s">
        <v>24</v>
      </c>
      <c r="J57" t="s">
        <v>1087</v>
      </c>
      <c r="O57" t="s">
        <v>251</v>
      </c>
      <c r="P57" t="s">
        <v>1197</v>
      </c>
      <c r="Q57" s="34">
        <v>0.02</v>
      </c>
      <c r="R57" s="34">
        <v>3.5000000000000003E-2</v>
      </c>
    </row>
    <row r="58" spans="1:18" x14ac:dyDescent="0.25">
      <c r="A58" t="s">
        <v>285</v>
      </c>
      <c r="B58" s="1" t="s">
        <v>286</v>
      </c>
      <c r="C58" t="s">
        <v>249</v>
      </c>
      <c r="D58" t="s">
        <v>287</v>
      </c>
      <c r="E58" t="s">
        <v>288</v>
      </c>
      <c r="F58" s="2">
        <v>45808</v>
      </c>
      <c r="G58" t="s">
        <v>20</v>
      </c>
      <c r="J58" t="b">
        <v>0</v>
      </c>
      <c r="O58" t="s">
        <v>289</v>
      </c>
      <c r="P58" t="s">
        <v>1087</v>
      </c>
      <c r="Q58" s="34">
        <v>4.0000000000000001E-3</v>
      </c>
      <c r="R58" s="34">
        <v>1.3000000000000001E-2</v>
      </c>
    </row>
    <row r="59" spans="1:18" x14ac:dyDescent="0.25">
      <c r="A59" t="s">
        <v>146</v>
      </c>
      <c r="B59" s="1">
        <v>682592</v>
      </c>
      <c r="C59" t="s">
        <v>17</v>
      </c>
      <c r="D59" t="s">
        <v>147</v>
      </c>
      <c r="E59" t="s">
        <v>50</v>
      </c>
      <c r="F59" s="2">
        <v>45808</v>
      </c>
      <c r="G59" t="s">
        <v>24</v>
      </c>
      <c r="J59" t="s">
        <v>1087</v>
      </c>
      <c r="O59" t="s">
        <v>251</v>
      </c>
      <c r="P59" t="s">
        <v>1198</v>
      </c>
      <c r="Q59" s="34">
        <v>0.01</v>
      </c>
      <c r="R59" s="34">
        <v>0.03</v>
      </c>
    </row>
    <row r="60" spans="1:18" x14ac:dyDescent="0.25">
      <c r="A60" t="s">
        <v>290</v>
      </c>
      <c r="B60" s="1" t="s">
        <v>291</v>
      </c>
      <c r="C60" t="s">
        <v>249</v>
      </c>
      <c r="D60" t="s">
        <v>292</v>
      </c>
      <c r="E60" t="s">
        <v>293</v>
      </c>
      <c r="F60" s="2">
        <v>45808</v>
      </c>
      <c r="G60" t="s">
        <v>20</v>
      </c>
      <c r="J60" t="b">
        <v>1</v>
      </c>
      <c r="K60" s="2">
        <v>45838</v>
      </c>
      <c r="N60" t="b">
        <v>1</v>
      </c>
      <c r="O60" t="s">
        <v>251</v>
      </c>
      <c r="P60" t="s">
        <v>1087</v>
      </c>
      <c r="Q60" s="34">
        <v>8.0000000000000002E-3</v>
      </c>
      <c r="R60" s="34" t="e">
        <v>#N/A</v>
      </c>
    </row>
    <row r="61" spans="1:18" x14ac:dyDescent="0.25">
      <c r="A61" t="s">
        <v>148</v>
      </c>
      <c r="B61" s="1">
        <v>708784</v>
      </c>
      <c r="C61" t="s">
        <v>17</v>
      </c>
      <c r="D61" t="s">
        <v>149</v>
      </c>
      <c r="E61" t="s">
        <v>150</v>
      </c>
      <c r="F61" s="2">
        <v>45808</v>
      </c>
      <c r="G61" t="s">
        <v>24</v>
      </c>
      <c r="J61" t="s">
        <v>1087</v>
      </c>
      <c r="O61" t="s">
        <v>251</v>
      </c>
      <c r="P61" t="s">
        <v>1199</v>
      </c>
      <c r="Q61" s="34">
        <v>1.4999999999999999E-2</v>
      </c>
      <c r="R61" s="34">
        <v>0.05</v>
      </c>
    </row>
    <row r="62" spans="1:18" x14ac:dyDescent="0.25">
      <c r="A62" t="s">
        <v>151</v>
      </c>
      <c r="B62" s="1">
        <v>713420</v>
      </c>
      <c r="C62" t="s">
        <v>17</v>
      </c>
      <c r="D62" t="s">
        <v>152</v>
      </c>
      <c r="E62" t="s">
        <v>153</v>
      </c>
      <c r="F62" s="2">
        <v>45808</v>
      </c>
      <c r="G62" t="s">
        <v>24</v>
      </c>
      <c r="J62" t="s">
        <v>1087</v>
      </c>
      <c r="O62" t="s">
        <v>251</v>
      </c>
      <c r="P62" t="s">
        <v>1200</v>
      </c>
      <c r="Q62" s="34">
        <v>2.5000000000000001E-2</v>
      </c>
      <c r="R62" s="34">
        <v>7.0000000000000007E-2</v>
      </c>
    </row>
    <row r="63" spans="1:18" x14ac:dyDescent="0.25">
      <c r="A63" t="s">
        <v>154</v>
      </c>
      <c r="B63" s="1">
        <v>716863</v>
      </c>
      <c r="C63" t="s">
        <v>17</v>
      </c>
      <c r="D63" t="s">
        <v>155</v>
      </c>
      <c r="E63" t="s">
        <v>23</v>
      </c>
      <c r="F63" s="2">
        <v>45808</v>
      </c>
      <c r="G63" t="s">
        <v>24</v>
      </c>
      <c r="J63" t="s">
        <v>1087</v>
      </c>
      <c r="O63" t="s">
        <v>251</v>
      </c>
      <c r="P63" t="s">
        <v>1201</v>
      </c>
      <c r="Q63" s="34">
        <v>0.02</v>
      </c>
      <c r="R63" s="34">
        <v>0.05</v>
      </c>
    </row>
    <row r="64" spans="1:18" x14ac:dyDescent="0.25">
      <c r="A64" t="s">
        <v>321</v>
      </c>
      <c r="B64" s="15" t="s">
        <v>322</v>
      </c>
      <c r="C64" t="s">
        <v>249</v>
      </c>
      <c r="D64" t="s">
        <v>323</v>
      </c>
      <c r="E64" t="s">
        <v>324</v>
      </c>
      <c r="F64" s="2">
        <v>45808</v>
      </c>
      <c r="G64" t="s">
        <v>20</v>
      </c>
      <c r="J64" t="b">
        <v>0</v>
      </c>
      <c r="O64" t="s">
        <v>289</v>
      </c>
      <c r="P64" t="s">
        <v>1087</v>
      </c>
      <c r="Q64" s="34">
        <v>0.01</v>
      </c>
      <c r="R64" s="34" t="e">
        <v>#N/A</v>
      </c>
    </row>
    <row r="65" spans="1:18" x14ac:dyDescent="0.25">
      <c r="A65" t="s">
        <v>325</v>
      </c>
      <c r="B65" s="15" t="s">
        <v>326</v>
      </c>
      <c r="C65" t="s">
        <v>249</v>
      </c>
      <c r="D65" t="s">
        <v>327</v>
      </c>
      <c r="E65" t="s">
        <v>324</v>
      </c>
      <c r="F65" s="2">
        <v>45808</v>
      </c>
      <c r="G65" t="s">
        <v>20</v>
      </c>
      <c r="J65" t="b">
        <v>0</v>
      </c>
      <c r="O65" t="s">
        <v>289</v>
      </c>
      <c r="P65" t="s">
        <v>1087</v>
      </c>
      <c r="Q65" s="34">
        <v>0.02</v>
      </c>
      <c r="R65" s="34">
        <v>0.05</v>
      </c>
    </row>
    <row r="66" spans="1:18" x14ac:dyDescent="0.25">
      <c r="A66" t="s">
        <v>365</v>
      </c>
      <c r="B66" s="1" t="s">
        <v>366</v>
      </c>
      <c r="C66" t="s">
        <v>249</v>
      </c>
      <c r="D66" t="s">
        <v>367</v>
      </c>
      <c r="E66" t="s">
        <v>368</v>
      </c>
      <c r="F66" s="2">
        <v>45808</v>
      </c>
      <c r="G66" t="s">
        <v>24</v>
      </c>
      <c r="J66" t="s">
        <v>1087</v>
      </c>
      <c r="L66" s="2">
        <v>45961</v>
      </c>
      <c r="O66" t="s">
        <v>251</v>
      </c>
      <c r="P66" t="s">
        <v>1249</v>
      </c>
      <c r="Q66" s="34">
        <v>1.2500000000000001E-2</v>
      </c>
      <c r="R66" s="34">
        <v>3.5000000000000003E-2</v>
      </c>
    </row>
    <row r="67" spans="1:18" x14ac:dyDescent="0.25">
      <c r="A67" t="s">
        <v>156</v>
      </c>
      <c r="B67" s="1" t="s">
        <v>157</v>
      </c>
      <c r="C67" t="s">
        <v>17</v>
      </c>
      <c r="D67" t="s">
        <v>158</v>
      </c>
      <c r="E67" t="s">
        <v>19</v>
      </c>
      <c r="F67" s="2">
        <v>45808</v>
      </c>
      <c r="G67" t="s">
        <v>20</v>
      </c>
      <c r="J67" t="b">
        <v>0</v>
      </c>
      <c r="P67" t="s">
        <v>1087</v>
      </c>
      <c r="Q67" s="34">
        <v>0.02</v>
      </c>
      <c r="R67" s="34">
        <v>0.04</v>
      </c>
    </row>
    <row r="68" spans="1:18" x14ac:dyDescent="0.25">
      <c r="A68" t="s">
        <v>346</v>
      </c>
      <c r="B68" s="1">
        <v>720798</v>
      </c>
      <c r="C68" t="s">
        <v>249</v>
      </c>
      <c r="D68" t="s">
        <v>347</v>
      </c>
      <c r="E68" t="s">
        <v>348</v>
      </c>
      <c r="F68" s="2">
        <v>45808</v>
      </c>
      <c r="G68" t="s">
        <v>24</v>
      </c>
      <c r="J68" t="s">
        <v>1087</v>
      </c>
      <c r="L68" s="2">
        <v>45716</v>
      </c>
      <c r="O68" t="s">
        <v>289</v>
      </c>
      <c r="P68" t="s">
        <v>1242</v>
      </c>
      <c r="Q68" s="34">
        <v>1.2500000000000001E-2</v>
      </c>
      <c r="R68" s="34">
        <v>3.2500000000000001E-2</v>
      </c>
    </row>
    <row r="69" spans="1:18" x14ac:dyDescent="0.25">
      <c r="A69" t="s">
        <v>159</v>
      </c>
      <c r="B69" s="1">
        <v>714941</v>
      </c>
      <c r="C69" t="s">
        <v>17</v>
      </c>
      <c r="D69" t="s">
        <v>160</v>
      </c>
      <c r="E69" t="s">
        <v>30</v>
      </c>
      <c r="F69" s="2">
        <v>45808</v>
      </c>
      <c r="G69" t="s">
        <v>24</v>
      </c>
      <c r="J69" t="s">
        <v>1087</v>
      </c>
      <c r="O69" t="s">
        <v>251</v>
      </c>
      <c r="P69" t="s">
        <v>1202</v>
      </c>
      <c r="Q69" s="34">
        <v>0.02</v>
      </c>
      <c r="R69" s="34">
        <v>0.06</v>
      </c>
    </row>
    <row r="70" spans="1:18" x14ac:dyDescent="0.25">
      <c r="A70" t="s">
        <v>294</v>
      </c>
      <c r="B70" s="1">
        <v>689206</v>
      </c>
      <c r="C70" t="s">
        <v>249</v>
      </c>
      <c r="D70" t="s">
        <v>295</v>
      </c>
      <c r="E70" t="s">
        <v>296</v>
      </c>
      <c r="F70" s="2">
        <v>45808</v>
      </c>
      <c r="G70" t="s">
        <v>24</v>
      </c>
      <c r="J70" t="s">
        <v>1087</v>
      </c>
      <c r="O70" t="s">
        <v>251</v>
      </c>
      <c r="P70" t="s">
        <v>1233</v>
      </c>
      <c r="Q70" s="34">
        <v>5.0000000000000001E-3</v>
      </c>
      <c r="R70" s="34">
        <v>1.7500000000000002E-2</v>
      </c>
    </row>
    <row r="71" spans="1:18" x14ac:dyDescent="0.25">
      <c r="A71" t="s">
        <v>343</v>
      </c>
      <c r="B71" s="1">
        <v>718930</v>
      </c>
      <c r="C71" t="s">
        <v>249</v>
      </c>
      <c r="D71" t="s">
        <v>344</v>
      </c>
      <c r="E71" t="s">
        <v>345</v>
      </c>
      <c r="F71" s="2">
        <v>45808</v>
      </c>
      <c r="G71" t="s">
        <v>24</v>
      </c>
      <c r="J71" t="s">
        <v>1087</v>
      </c>
      <c r="O71" t="s">
        <v>251</v>
      </c>
      <c r="P71" t="s">
        <v>1241</v>
      </c>
      <c r="Q71" s="34">
        <v>1.2E-2</v>
      </c>
      <c r="R71" s="34">
        <v>2.6000000000000002E-2</v>
      </c>
    </row>
    <row r="72" spans="1:18" x14ac:dyDescent="0.25">
      <c r="A72" t="s">
        <v>336</v>
      </c>
      <c r="B72" s="1">
        <v>688330</v>
      </c>
      <c r="C72" t="s">
        <v>249</v>
      </c>
      <c r="D72" t="s">
        <v>337</v>
      </c>
      <c r="E72" t="s">
        <v>338</v>
      </c>
      <c r="F72" s="2">
        <v>45808</v>
      </c>
      <c r="G72" t="s">
        <v>24</v>
      </c>
      <c r="J72" t="s">
        <v>1087</v>
      </c>
      <c r="O72" t="s">
        <v>251</v>
      </c>
      <c r="P72" t="s">
        <v>1240</v>
      </c>
      <c r="Q72" s="34">
        <v>5.0000000000000001E-3</v>
      </c>
      <c r="R72" s="34">
        <v>1.7500000000000002E-2</v>
      </c>
    </row>
    <row r="73" spans="1:18" x14ac:dyDescent="0.25">
      <c r="A73" t="s">
        <v>332</v>
      </c>
      <c r="B73" s="1" t="s">
        <v>333</v>
      </c>
      <c r="C73" t="s">
        <v>249</v>
      </c>
      <c r="D73" t="s">
        <v>334</v>
      </c>
      <c r="E73" t="s">
        <v>335</v>
      </c>
      <c r="F73" s="2">
        <v>45808</v>
      </c>
      <c r="G73" t="s">
        <v>20</v>
      </c>
      <c r="J73" t="b">
        <v>1</v>
      </c>
      <c r="N73" t="b">
        <v>1</v>
      </c>
      <c r="O73" t="s">
        <v>289</v>
      </c>
      <c r="P73" t="s">
        <v>1087</v>
      </c>
      <c r="Q73" s="34">
        <v>1.4999999999999999E-2</v>
      </c>
      <c r="R73" s="34">
        <v>3.5000000000000003E-2</v>
      </c>
    </row>
    <row r="74" spans="1:18" x14ac:dyDescent="0.25">
      <c r="A74" t="s">
        <v>301</v>
      </c>
      <c r="B74" s="1">
        <v>689942</v>
      </c>
      <c r="C74" t="s">
        <v>249</v>
      </c>
      <c r="D74" t="s">
        <v>302</v>
      </c>
      <c r="E74" t="s">
        <v>303</v>
      </c>
      <c r="F74" s="2">
        <v>45808</v>
      </c>
      <c r="G74" t="s">
        <v>24</v>
      </c>
      <c r="J74" t="s">
        <v>1087</v>
      </c>
      <c r="O74" t="s">
        <v>251</v>
      </c>
      <c r="P74" t="s">
        <v>1234</v>
      </c>
      <c r="Q74" s="34">
        <v>5.0000000000000001E-3</v>
      </c>
      <c r="R74" s="34">
        <v>1.4999999999999999E-2</v>
      </c>
    </row>
    <row r="75" spans="1:18" x14ac:dyDescent="0.25">
      <c r="A75" t="s">
        <v>307</v>
      </c>
      <c r="B75" s="1" t="s">
        <v>308</v>
      </c>
      <c r="C75" t="s">
        <v>249</v>
      </c>
      <c r="D75" t="s">
        <v>309</v>
      </c>
      <c r="E75" t="s">
        <v>310</v>
      </c>
      <c r="F75" s="2">
        <v>45808</v>
      </c>
      <c r="G75" t="s">
        <v>24</v>
      </c>
      <c r="J75" t="s">
        <v>1087</v>
      </c>
      <c r="O75" t="s">
        <v>251</v>
      </c>
      <c r="P75" t="s">
        <v>1236</v>
      </c>
      <c r="Q75" s="34">
        <v>1.4999999999999999E-2</v>
      </c>
      <c r="R75" s="34">
        <v>3.5000000000000003E-2</v>
      </c>
    </row>
    <row r="76" spans="1:18" x14ac:dyDescent="0.25">
      <c r="A76" t="s">
        <v>304</v>
      </c>
      <c r="B76" s="1">
        <v>693779</v>
      </c>
      <c r="C76" t="s">
        <v>249</v>
      </c>
      <c r="D76" t="s">
        <v>305</v>
      </c>
      <c r="E76" t="s">
        <v>306</v>
      </c>
      <c r="F76" s="2">
        <v>45808</v>
      </c>
      <c r="G76" t="s">
        <v>24</v>
      </c>
      <c r="J76" t="s">
        <v>1087</v>
      </c>
      <c r="O76" t="s">
        <v>251</v>
      </c>
      <c r="P76" t="s">
        <v>1235</v>
      </c>
      <c r="Q76" s="34">
        <v>1.4999999999999999E-2</v>
      </c>
      <c r="R76" s="34">
        <v>3.7999999999999999E-2</v>
      </c>
    </row>
    <row r="77" spans="1:18" x14ac:dyDescent="0.25">
      <c r="A77" t="s">
        <v>161</v>
      </c>
      <c r="B77" s="1" t="s">
        <v>162</v>
      </c>
      <c r="C77" t="s">
        <v>17</v>
      </c>
      <c r="D77" t="s">
        <v>163</v>
      </c>
      <c r="E77" t="s">
        <v>129</v>
      </c>
      <c r="F77" s="2">
        <v>45808</v>
      </c>
      <c r="G77" t="s">
        <v>20</v>
      </c>
      <c r="J77" t="b">
        <v>0</v>
      </c>
      <c r="P77" t="s">
        <v>1087</v>
      </c>
      <c r="Q77" s="34">
        <v>0.02</v>
      </c>
      <c r="R77" s="34" t="e">
        <v>#N/A</v>
      </c>
    </row>
    <row r="78" spans="1:18" x14ac:dyDescent="0.25">
      <c r="A78" t="s">
        <v>164</v>
      </c>
      <c r="B78" s="1" t="s">
        <v>165</v>
      </c>
      <c r="C78" t="s">
        <v>17</v>
      </c>
      <c r="D78" t="s">
        <v>166</v>
      </c>
      <c r="E78" t="s">
        <v>167</v>
      </c>
      <c r="F78" s="2">
        <v>45808</v>
      </c>
      <c r="G78" t="s">
        <v>20</v>
      </c>
      <c r="J78" t="b">
        <v>0</v>
      </c>
      <c r="P78" t="s">
        <v>1087</v>
      </c>
      <c r="Q78" s="34">
        <v>2.2499999999999999E-2</v>
      </c>
      <c r="R78" s="34">
        <v>4.4999999999999998E-2</v>
      </c>
    </row>
    <row r="79" spans="1:18" x14ac:dyDescent="0.25">
      <c r="A79" t="s">
        <v>168</v>
      </c>
      <c r="B79" s="1">
        <v>703827</v>
      </c>
      <c r="C79" t="s">
        <v>17</v>
      </c>
      <c r="D79" t="s">
        <v>169</v>
      </c>
      <c r="E79" t="s">
        <v>170</v>
      </c>
      <c r="F79" s="2">
        <v>45808</v>
      </c>
      <c r="G79" t="s">
        <v>24</v>
      </c>
      <c r="J79" t="s">
        <v>1087</v>
      </c>
      <c r="O79" t="s">
        <v>251</v>
      </c>
      <c r="P79" t="s">
        <v>1203</v>
      </c>
      <c r="Q79" s="34">
        <v>0.03</v>
      </c>
      <c r="R79" s="34">
        <v>0.05</v>
      </c>
    </row>
    <row r="80" spans="1:18" x14ac:dyDescent="0.25">
      <c r="A80" t="s">
        <v>349</v>
      </c>
      <c r="B80" s="1">
        <v>722431</v>
      </c>
      <c r="C80" t="s">
        <v>249</v>
      </c>
      <c r="D80" t="s">
        <v>350</v>
      </c>
      <c r="E80" t="s">
        <v>272</v>
      </c>
      <c r="F80" s="2">
        <v>45808</v>
      </c>
      <c r="G80" t="s">
        <v>24</v>
      </c>
      <c r="J80" t="s">
        <v>1087</v>
      </c>
      <c r="O80" t="s">
        <v>289</v>
      </c>
      <c r="P80" t="s">
        <v>1243</v>
      </c>
      <c r="Q80" s="34">
        <v>0.01</v>
      </c>
      <c r="R80" s="34">
        <v>2.5000000000000001E-2</v>
      </c>
    </row>
    <row r="81" spans="1:18" x14ac:dyDescent="0.25">
      <c r="A81" t="s">
        <v>171</v>
      </c>
      <c r="B81" s="1" t="s">
        <v>172</v>
      </c>
      <c r="C81" t="s">
        <v>17</v>
      </c>
      <c r="D81" t="s">
        <v>173</v>
      </c>
      <c r="E81" t="s">
        <v>174</v>
      </c>
      <c r="F81" s="2">
        <v>45808</v>
      </c>
      <c r="G81" t="s">
        <v>20</v>
      </c>
      <c r="H81" t="b">
        <v>1</v>
      </c>
      <c r="I81" s="7" t="s">
        <v>175</v>
      </c>
      <c r="J81" t="b">
        <v>0</v>
      </c>
      <c r="K81" s="2">
        <v>45808</v>
      </c>
      <c r="L81" s="2"/>
      <c r="P81" t="s">
        <v>1087</v>
      </c>
      <c r="Q81" s="34">
        <v>1.4999999999999999E-2</v>
      </c>
      <c r="R81" s="34" t="e">
        <v>#N/A</v>
      </c>
    </row>
    <row r="82" spans="1:18" x14ac:dyDescent="0.25">
      <c r="A82" t="s">
        <v>314</v>
      </c>
      <c r="B82" s="1" t="s">
        <v>315</v>
      </c>
      <c r="C82" t="s">
        <v>249</v>
      </c>
      <c r="D82" t="s">
        <v>316</v>
      </c>
      <c r="E82" t="s">
        <v>317</v>
      </c>
      <c r="F82" s="2">
        <v>45808</v>
      </c>
      <c r="G82" t="s">
        <v>24</v>
      </c>
      <c r="J82" t="s">
        <v>1087</v>
      </c>
      <c r="O82" t="s">
        <v>251</v>
      </c>
      <c r="P82" t="s">
        <v>1238</v>
      </c>
      <c r="Q82" s="34">
        <v>1.1000000000000001E-2</v>
      </c>
      <c r="R82" s="34">
        <v>0.03</v>
      </c>
    </row>
    <row r="83" spans="1:18" x14ac:dyDescent="0.25">
      <c r="A83" t="s">
        <v>311</v>
      </c>
      <c r="B83" s="1">
        <v>666297</v>
      </c>
      <c r="C83" t="s">
        <v>249</v>
      </c>
      <c r="D83" t="s">
        <v>312</v>
      </c>
      <c r="E83" t="s">
        <v>313</v>
      </c>
      <c r="F83" s="2">
        <v>45808</v>
      </c>
      <c r="G83" t="s">
        <v>24</v>
      </c>
      <c r="J83" t="s">
        <v>1087</v>
      </c>
      <c r="O83" t="s">
        <v>289</v>
      </c>
      <c r="P83" t="s">
        <v>1237</v>
      </c>
      <c r="Q83" s="34">
        <v>0.01</v>
      </c>
      <c r="R83" s="34">
        <v>0.03</v>
      </c>
    </row>
    <row r="84" spans="1:18" x14ac:dyDescent="0.25">
      <c r="A84" t="s">
        <v>339</v>
      </c>
      <c r="B84" s="1" t="s">
        <v>340</v>
      </c>
      <c r="C84" t="s">
        <v>249</v>
      </c>
      <c r="D84" t="s">
        <v>341</v>
      </c>
      <c r="E84" t="s">
        <v>342</v>
      </c>
      <c r="F84" s="2">
        <v>45808</v>
      </c>
      <c r="G84" t="s">
        <v>20</v>
      </c>
      <c r="J84" t="b">
        <v>0</v>
      </c>
      <c r="M84" t="b">
        <v>0</v>
      </c>
      <c r="O84" t="s">
        <v>289</v>
      </c>
      <c r="P84" t="s">
        <v>1087</v>
      </c>
      <c r="Q84" s="34">
        <v>1.2E-2</v>
      </c>
      <c r="R84" s="34">
        <v>0.03</v>
      </c>
    </row>
    <row r="85" spans="1:18" x14ac:dyDescent="0.25">
      <c r="A85" t="s">
        <v>318</v>
      </c>
      <c r="B85" s="1">
        <v>716679</v>
      </c>
      <c r="C85" t="s">
        <v>249</v>
      </c>
      <c r="D85" t="s">
        <v>319</v>
      </c>
      <c r="E85" t="s">
        <v>320</v>
      </c>
      <c r="F85" s="2">
        <v>45808</v>
      </c>
      <c r="G85" t="s">
        <v>24</v>
      </c>
      <c r="J85" t="s">
        <v>1087</v>
      </c>
      <c r="O85" t="s">
        <v>289</v>
      </c>
      <c r="P85" t="s">
        <v>1239</v>
      </c>
      <c r="Q85" s="34">
        <v>0.01</v>
      </c>
      <c r="R85" s="34">
        <v>0.03</v>
      </c>
    </row>
    <row r="86" spans="1:18" x14ac:dyDescent="0.25">
      <c r="A86" t="s">
        <v>176</v>
      </c>
      <c r="B86" s="1">
        <v>708783</v>
      </c>
      <c r="C86" t="s">
        <v>17</v>
      </c>
      <c r="D86" t="s">
        <v>177</v>
      </c>
      <c r="E86" t="s">
        <v>54</v>
      </c>
      <c r="F86" s="2">
        <v>45808</v>
      </c>
      <c r="G86" t="s">
        <v>24</v>
      </c>
      <c r="J86" t="s">
        <v>1087</v>
      </c>
      <c r="O86" t="s">
        <v>251</v>
      </c>
      <c r="P86" t="s">
        <v>1204</v>
      </c>
      <c r="Q86" s="34">
        <v>1.4999999999999999E-2</v>
      </c>
      <c r="R86" s="34">
        <v>0.05</v>
      </c>
    </row>
    <row r="87" spans="1:18" x14ac:dyDescent="0.25">
      <c r="A87" t="s">
        <v>178</v>
      </c>
      <c r="B87" s="1">
        <v>713421</v>
      </c>
      <c r="C87" t="s">
        <v>17</v>
      </c>
      <c r="D87" t="s">
        <v>179</v>
      </c>
      <c r="E87" t="s">
        <v>150</v>
      </c>
      <c r="F87" s="2">
        <v>45808</v>
      </c>
      <c r="G87" t="s">
        <v>24</v>
      </c>
      <c r="J87" t="s">
        <v>1087</v>
      </c>
      <c r="O87" t="s">
        <v>251</v>
      </c>
      <c r="P87" t="s">
        <v>1205</v>
      </c>
      <c r="Q87" s="34">
        <v>0.03</v>
      </c>
      <c r="R87" s="34">
        <v>0.09</v>
      </c>
    </row>
    <row r="88" spans="1:18" x14ac:dyDescent="0.25">
      <c r="A88" t="s">
        <v>180</v>
      </c>
      <c r="B88" s="1">
        <v>713971</v>
      </c>
      <c r="C88" t="s">
        <v>17</v>
      </c>
      <c r="D88" t="s">
        <v>181</v>
      </c>
      <c r="E88" t="s">
        <v>182</v>
      </c>
      <c r="F88" s="2">
        <v>45808</v>
      </c>
      <c r="G88" t="s">
        <v>24</v>
      </c>
      <c r="J88" t="s">
        <v>1087</v>
      </c>
      <c r="K88" s="2">
        <v>46142</v>
      </c>
      <c r="O88" t="s">
        <v>251</v>
      </c>
      <c r="P88" t="s">
        <v>1206</v>
      </c>
      <c r="Q88" s="34">
        <v>0.01</v>
      </c>
      <c r="R88" s="34">
        <v>4.4999999999999998E-2</v>
      </c>
    </row>
    <row r="89" spans="1:18" x14ac:dyDescent="0.25">
      <c r="A89" t="s">
        <v>183</v>
      </c>
      <c r="B89" s="1">
        <v>716844</v>
      </c>
      <c r="C89" t="s">
        <v>17</v>
      </c>
      <c r="D89" t="s">
        <v>184</v>
      </c>
      <c r="E89" t="s">
        <v>185</v>
      </c>
      <c r="F89" s="2">
        <v>45808</v>
      </c>
      <c r="G89" t="s">
        <v>24</v>
      </c>
      <c r="J89" t="s">
        <v>1087</v>
      </c>
      <c r="O89" t="s">
        <v>251</v>
      </c>
      <c r="P89" t="s">
        <v>1207</v>
      </c>
      <c r="Q89" s="34">
        <v>0.02</v>
      </c>
      <c r="R89" s="34">
        <v>0.06</v>
      </c>
    </row>
    <row r="90" spans="1:18" x14ac:dyDescent="0.25">
      <c r="A90" t="s">
        <v>186</v>
      </c>
      <c r="B90" s="1">
        <v>706632</v>
      </c>
      <c r="C90" t="s">
        <v>17</v>
      </c>
      <c r="D90" t="s">
        <v>187</v>
      </c>
      <c r="E90" t="s">
        <v>188</v>
      </c>
      <c r="F90" s="2">
        <v>45808</v>
      </c>
      <c r="G90" t="s">
        <v>24</v>
      </c>
      <c r="J90" t="s">
        <v>1087</v>
      </c>
      <c r="O90" t="s">
        <v>251</v>
      </c>
      <c r="P90" t="s">
        <v>1208</v>
      </c>
      <c r="Q90" s="34">
        <v>0.02</v>
      </c>
      <c r="R90" s="34">
        <v>0.06</v>
      </c>
    </row>
    <row r="91" spans="1:18" x14ac:dyDescent="0.25">
      <c r="A91" t="s">
        <v>189</v>
      </c>
      <c r="B91" s="1">
        <v>714291</v>
      </c>
      <c r="C91" t="s">
        <v>17</v>
      </c>
      <c r="D91" t="s">
        <v>190</v>
      </c>
      <c r="E91" t="s">
        <v>103</v>
      </c>
      <c r="F91" s="2">
        <v>45808</v>
      </c>
      <c r="G91" t="s">
        <v>24</v>
      </c>
      <c r="J91" t="s">
        <v>1087</v>
      </c>
      <c r="K91" s="2">
        <v>45900</v>
      </c>
      <c r="O91" t="s">
        <v>251</v>
      </c>
      <c r="P91" t="s">
        <v>1209</v>
      </c>
      <c r="Q91" s="34">
        <v>1.4999999999999999E-2</v>
      </c>
      <c r="R91" s="34" t="e">
        <v>#N/A</v>
      </c>
    </row>
    <row r="92" spans="1:18" x14ac:dyDescent="0.25">
      <c r="A92" t="s">
        <v>191</v>
      </c>
      <c r="B92" s="1" t="s">
        <v>192</v>
      </c>
      <c r="C92" t="s">
        <v>17</v>
      </c>
      <c r="D92" t="s">
        <v>193</v>
      </c>
      <c r="E92" t="s">
        <v>194</v>
      </c>
      <c r="F92" s="2">
        <v>45808</v>
      </c>
      <c r="G92" t="s">
        <v>20</v>
      </c>
      <c r="J92" t="b">
        <v>0</v>
      </c>
      <c r="P92" t="s">
        <v>1087</v>
      </c>
      <c r="Q92" s="34">
        <v>2.5000000000000001E-2</v>
      </c>
      <c r="R92" s="34">
        <v>0.04</v>
      </c>
    </row>
    <row r="93" spans="1:18" x14ac:dyDescent="0.25">
      <c r="A93" t="s">
        <v>195</v>
      </c>
      <c r="B93" s="1">
        <v>684489</v>
      </c>
      <c r="C93" t="s">
        <v>17</v>
      </c>
      <c r="D93" t="s">
        <v>196</v>
      </c>
      <c r="E93" t="s">
        <v>41</v>
      </c>
      <c r="F93" s="2">
        <v>45808</v>
      </c>
      <c r="G93" t="s">
        <v>24</v>
      </c>
      <c r="J93" t="s">
        <v>1087</v>
      </c>
      <c r="O93" t="s">
        <v>251</v>
      </c>
      <c r="P93" t="s">
        <v>1210</v>
      </c>
      <c r="Q93" s="34">
        <v>0.02</v>
      </c>
      <c r="R93" s="34">
        <v>0.04</v>
      </c>
    </row>
    <row r="94" spans="1:18" x14ac:dyDescent="0.25">
      <c r="A94" t="s">
        <v>354</v>
      </c>
      <c r="B94" s="1">
        <v>718931</v>
      </c>
      <c r="C94" t="s">
        <v>17</v>
      </c>
      <c r="D94" t="s">
        <v>355</v>
      </c>
      <c r="E94" t="s">
        <v>356</v>
      </c>
      <c r="F94" s="2">
        <v>45808</v>
      </c>
      <c r="G94" t="s">
        <v>24</v>
      </c>
      <c r="J94" t="s">
        <v>1087</v>
      </c>
      <c r="O94" t="s">
        <v>251</v>
      </c>
      <c r="P94" t="s">
        <v>1245</v>
      </c>
      <c r="Q94" s="34">
        <v>1.4999999999999999E-2</v>
      </c>
      <c r="R94" s="34">
        <v>0.05</v>
      </c>
    </row>
    <row r="95" spans="1:18" x14ac:dyDescent="0.25">
      <c r="A95" t="s">
        <v>197</v>
      </c>
      <c r="B95" s="1">
        <v>682590</v>
      </c>
      <c r="C95" t="s">
        <v>17</v>
      </c>
      <c r="D95" t="s">
        <v>198</v>
      </c>
      <c r="E95" t="s">
        <v>44</v>
      </c>
      <c r="F95" s="2">
        <v>45808</v>
      </c>
      <c r="G95" t="s">
        <v>24</v>
      </c>
      <c r="J95" t="s">
        <v>1087</v>
      </c>
      <c r="O95" t="s">
        <v>251</v>
      </c>
      <c r="P95" t="s">
        <v>1211</v>
      </c>
      <c r="Q95" s="34">
        <v>0.02</v>
      </c>
      <c r="R95" s="34">
        <v>3.5000000000000003E-2</v>
      </c>
    </row>
    <row r="96" spans="1:18" x14ac:dyDescent="0.25">
      <c r="A96" t="s">
        <v>199</v>
      </c>
      <c r="B96" s="1" t="s">
        <v>200</v>
      </c>
      <c r="C96" t="s">
        <v>17</v>
      </c>
      <c r="D96" t="s">
        <v>201</v>
      </c>
      <c r="E96" t="s">
        <v>202</v>
      </c>
      <c r="F96" s="2">
        <v>45808</v>
      </c>
      <c r="G96" t="s">
        <v>20</v>
      </c>
      <c r="J96" t="b">
        <v>1</v>
      </c>
      <c r="N96" t="b">
        <v>1</v>
      </c>
      <c r="P96" t="s">
        <v>1087</v>
      </c>
      <c r="Q96" s="34">
        <v>3.5000000000000003E-2</v>
      </c>
      <c r="R96" s="34">
        <v>0.08</v>
      </c>
    </row>
    <row r="97" spans="1:18" x14ac:dyDescent="0.25">
      <c r="A97" t="s">
        <v>203</v>
      </c>
      <c r="B97" s="1">
        <v>716958</v>
      </c>
      <c r="C97" t="s">
        <v>17</v>
      </c>
      <c r="D97" t="s">
        <v>204</v>
      </c>
      <c r="E97" t="s">
        <v>58</v>
      </c>
      <c r="F97" s="2">
        <v>45808</v>
      </c>
      <c r="G97" t="s">
        <v>24</v>
      </c>
      <c r="J97" t="s">
        <v>1087</v>
      </c>
      <c r="O97" t="s">
        <v>251</v>
      </c>
      <c r="P97" t="s">
        <v>1212</v>
      </c>
      <c r="Q97" s="34">
        <v>0.02</v>
      </c>
      <c r="R97" s="34">
        <v>0.05</v>
      </c>
    </row>
    <row r="98" spans="1:18" x14ac:dyDescent="0.25">
      <c r="A98" t="s">
        <v>205</v>
      </c>
      <c r="B98" s="1" t="s">
        <v>206</v>
      </c>
      <c r="C98" t="s">
        <v>17</v>
      </c>
      <c r="D98" t="s">
        <v>207</v>
      </c>
      <c r="E98" t="s">
        <v>67</v>
      </c>
      <c r="F98" s="2">
        <v>45808</v>
      </c>
      <c r="G98" t="s">
        <v>20</v>
      </c>
      <c r="J98" t="b">
        <v>0</v>
      </c>
      <c r="P98" t="s">
        <v>1087</v>
      </c>
      <c r="Q98" s="34">
        <v>0.03</v>
      </c>
      <c r="R98" s="34">
        <v>7.4999999999999997E-2</v>
      </c>
    </row>
    <row r="99" spans="1:18" x14ac:dyDescent="0.25">
      <c r="A99" t="s">
        <v>208</v>
      </c>
      <c r="B99" s="1">
        <v>716406</v>
      </c>
      <c r="C99" t="s">
        <v>17</v>
      </c>
      <c r="D99" t="s">
        <v>209</v>
      </c>
      <c r="E99" t="s">
        <v>54</v>
      </c>
      <c r="F99" s="2">
        <v>45808</v>
      </c>
      <c r="G99" t="s">
        <v>24</v>
      </c>
      <c r="J99" t="s">
        <v>1087</v>
      </c>
      <c r="O99" t="s">
        <v>251</v>
      </c>
      <c r="P99" t="s">
        <v>1213</v>
      </c>
      <c r="Q99" s="34">
        <v>1.4999999999999999E-2</v>
      </c>
      <c r="R99" s="34">
        <v>7.0000000000000007E-2</v>
      </c>
    </row>
    <row r="100" spans="1:18" x14ac:dyDescent="0.25">
      <c r="A100" t="s">
        <v>210</v>
      </c>
      <c r="B100" s="1">
        <v>693764</v>
      </c>
      <c r="C100" t="s">
        <v>17</v>
      </c>
      <c r="D100" t="s">
        <v>211</v>
      </c>
      <c r="E100" t="s">
        <v>129</v>
      </c>
      <c r="F100" s="2">
        <v>45808</v>
      </c>
      <c r="G100" t="s">
        <v>24</v>
      </c>
      <c r="J100" t="s">
        <v>1087</v>
      </c>
      <c r="O100" t="s">
        <v>251</v>
      </c>
      <c r="P100" t="s">
        <v>1214</v>
      </c>
      <c r="Q100" s="34">
        <v>3.5000000000000003E-2</v>
      </c>
      <c r="R100" s="34">
        <v>0.06</v>
      </c>
    </row>
    <row r="101" spans="1:18" x14ac:dyDescent="0.25">
      <c r="A101" t="s">
        <v>212</v>
      </c>
      <c r="B101" s="1">
        <v>700087</v>
      </c>
      <c r="C101" t="s">
        <v>17</v>
      </c>
      <c r="D101" t="s">
        <v>213</v>
      </c>
      <c r="E101" t="s">
        <v>116</v>
      </c>
      <c r="F101" s="2">
        <v>45808</v>
      </c>
      <c r="G101" t="s">
        <v>24</v>
      </c>
      <c r="J101" t="s">
        <v>1087</v>
      </c>
      <c r="O101" t="s">
        <v>251</v>
      </c>
      <c r="P101" t="s">
        <v>1215</v>
      </c>
      <c r="Q101" s="34">
        <v>1.4999999999999999E-2</v>
      </c>
      <c r="R101" s="34">
        <v>0.05</v>
      </c>
    </row>
    <row r="102" spans="1:18" x14ac:dyDescent="0.25">
      <c r="A102" t="s">
        <v>214</v>
      </c>
      <c r="B102" s="1">
        <v>713408</v>
      </c>
      <c r="C102" t="s">
        <v>17</v>
      </c>
      <c r="D102" t="s">
        <v>215</v>
      </c>
      <c r="E102" t="s">
        <v>216</v>
      </c>
      <c r="F102" s="2">
        <v>45808</v>
      </c>
      <c r="G102" t="s">
        <v>24</v>
      </c>
      <c r="J102" t="s">
        <v>1087</v>
      </c>
      <c r="O102" t="s">
        <v>251</v>
      </c>
      <c r="P102" t="s">
        <v>1216</v>
      </c>
      <c r="Q102" s="34">
        <v>0.03</v>
      </c>
      <c r="R102" s="34">
        <v>0.08</v>
      </c>
    </row>
    <row r="103" spans="1:18" x14ac:dyDescent="0.25">
      <c r="A103" t="s">
        <v>217</v>
      </c>
      <c r="B103" s="1">
        <v>700206</v>
      </c>
      <c r="C103" t="s">
        <v>17</v>
      </c>
      <c r="D103" t="s">
        <v>218</v>
      </c>
      <c r="E103" t="s">
        <v>44</v>
      </c>
      <c r="F103" s="2">
        <v>45808</v>
      </c>
      <c r="G103" t="s">
        <v>24</v>
      </c>
      <c r="J103" t="s">
        <v>1087</v>
      </c>
      <c r="O103" t="s">
        <v>251</v>
      </c>
      <c r="P103" t="s">
        <v>1217</v>
      </c>
      <c r="Q103" s="34">
        <v>7.4999999999999997E-3</v>
      </c>
      <c r="R103" s="34">
        <v>2.5000000000000001E-2</v>
      </c>
    </row>
    <row r="104" spans="1:18" x14ac:dyDescent="0.25">
      <c r="A104" t="s">
        <v>357</v>
      </c>
      <c r="B104" s="1">
        <v>718929</v>
      </c>
      <c r="C104" t="s">
        <v>17</v>
      </c>
      <c r="D104" t="s">
        <v>358</v>
      </c>
      <c r="E104" t="s">
        <v>359</v>
      </c>
      <c r="F104" s="2">
        <v>45808</v>
      </c>
      <c r="G104" t="s">
        <v>24</v>
      </c>
      <c r="J104" t="s">
        <v>1087</v>
      </c>
      <c r="O104" t="s">
        <v>251</v>
      </c>
      <c r="P104" t="s">
        <v>1246</v>
      </c>
      <c r="Q104" s="34">
        <v>0.01</v>
      </c>
      <c r="R104" s="34">
        <v>0.05</v>
      </c>
    </row>
    <row r="105" spans="1:18" x14ac:dyDescent="0.25">
      <c r="A105" t="s">
        <v>219</v>
      </c>
      <c r="B105" s="1">
        <v>704620</v>
      </c>
      <c r="C105" t="s">
        <v>17</v>
      </c>
      <c r="D105" t="s">
        <v>220</v>
      </c>
      <c r="E105" t="s">
        <v>221</v>
      </c>
      <c r="F105" s="2">
        <v>45808</v>
      </c>
      <c r="G105" t="s">
        <v>24</v>
      </c>
      <c r="J105" t="s">
        <v>1087</v>
      </c>
      <c r="K105" s="2">
        <v>46142</v>
      </c>
      <c r="O105" t="s">
        <v>251</v>
      </c>
      <c r="P105" t="s">
        <v>1218</v>
      </c>
      <c r="Q105" s="34">
        <v>2.5000000000000001E-2</v>
      </c>
      <c r="R105" s="34">
        <v>0.06</v>
      </c>
    </row>
    <row r="106" spans="1:18" x14ac:dyDescent="0.25">
      <c r="A106" t="s">
        <v>351</v>
      </c>
      <c r="B106" s="1">
        <v>722394</v>
      </c>
      <c r="C106" t="s">
        <v>17</v>
      </c>
      <c r="D106" t="s">
        <v>352</v>
      </c>
      <c r="E106" t="s">
        <v>353</v>
      </c>
      <c r="F106" s="2">
        <v>45808</v>
      </c>
      <c r="G106" t="s">
        <v>24</v>
      </c>
      <c r="J106" t="s">
        <v>1087</v>
      </c>
      <c r="K106" s="2">
        <v>45991</v>
      </c>
      <c r="O106" t="s">
        <v>251</v>
      </c>
      <c r="P106" t="s">
        <v>1244</v>
      </c>
      <c r="Q106" s="34">
        <v>0.01</v>
      </c>
      <c r="R106" s="34" t="e">
        <v>#N/A</v>
      </c>
    </row>
    <row r="107" spans="1:18" x14ac:dyDescent="0.25">
      <c r="A107" t="s">
        <v>222</v>
      </c>
      <c r="B107" s="1">
        <v>645766</v>
      </c>
      <c r="C107" t="s">
        <v>17</v>
      </c>
      <c r="D107" t="s">
        <v>223</v>
      </c>
      <c r="E107" t="s">
        <v>224</v>
      </c>
      <c r="F107" s="2">
        <v>45808</v>
      </c>
      <c r="G107" t="s">
        <v>24</v>
      </c>
      <c r="J107" t="s">
        <v>1087</v>
      </c>
      <c r="O107" t="s">
        <v>251</v>
      </c>
      <c r="P107" t="s">
        <v>1219</v>
      </c>
      <c r="Q107" s="34">
        <v>1.4999999999999999E-2</v>
      </c>
      <c r="R107" s="34">
        <v>4.4999999999999998E-2</v>
      </c>
    </row>
    <row r="108" spans="1:18" x14ac:dyDescent="0.25">
      <c r="A108" t="s">
        <v>297</v>
      </c>
      <c r="B108" s="1" t="s">
        <v>298</v>
      </c>
      <c r="C108" t="s">
        <v>249</v>
      </c>
      <c r="D108" t="s">
        <v>299</v>
      </c>
      <c r="E108" t="s">
        <v>300</v>
      </c>
      <c r="F108" s="2">
        <v>45808</v>
      </c>
      <c r="G108" t="s">
        <v>20</v>
      </c>
      <c r="J108" t="b">
        <v>1</v>
      </c>
      <c r="M108" t="b">
        <v>0</v>
      </c>
      <c r="N108" t="b">
        <v>1</v>
      </c>
      <c r="O108" t="s">
        <v>289</v>
      </c>
      <c r="P108" t="s">
        <v>1087</v>
      </c>
      <c r="Q108" s="34">
        <v>0.01</v>
      </c>
      <c r="R108" s="34">
        <v>0.04</v>
      </c>
    </row>
    <row r="109" spans="1:18" x14ac:dyDescent="0.25">
      <c r="A109" t="s">
        <v>225</v>
      </c>
      <c r="B109" s="1">
        <v>596994</v>
      </c>
      <c r="C109" t="s">
        <v>17</v>
      </c>
      <c r="D109" t="s">
        <v>226</v>
      </c>
      <c r="E109" t="s">
        <v>227</v>
      </c>
      <c r="F109" s="2">
        <v>45808</v>
      </c>
      <c r="G109" t="s">
        <v>24</v>
      </c>
      <c r="J109" t="s">
        <v>1087</v>
      </c>
      <c r="O109" t="s">
        <v>251</v>
      </c>
      <c r="P109" t="s">
        <v>1220</v>
      </c>
      <c r="Q109" s="34">
        <v>0</v>
      </c>
      <c r="R109" s="34">
        <v>0.02</v>
      </c>
    </row>
    <row r="110" spans="1:18" x14ac:dyDescent="0.25">
      <c r="A110" t="s">
        <v>328</v>
      </c>
      <c r="B110" s="15" t="s">
        <v>329</v>
      </c>
      <c r="C110" t="s">
        <v>249</v>
      </c>
      <c r="D110" t="s">
        <v>330</v>
      </c>
      <c r="E110" t="s">
        <v>331</v>
      </c>
      <c r="F110" s="2">
        <v>45808</v>
      </c>
      <c r="G110" t="s">
        <v>20</v>
      </c>
      <c r="J110" t="b">
        <v>0</v>
      </c>
      <c r="K110" s="2">
        <v>45869</v>
      </c>
      <c r="O110" t="s">
        <v>251</v>
      </c>
      <c r="P110" t="s">
        <v>1087</v>
      </c>
      <c r="Q110" s="34">
        <v>5.0000000000000001E-3</v>
      </c>
      <c r="R110" s="34" t="e">
        <v>#N/A</v>
      </c>
    </row>
    <row r="111" spans="1:18" x14ac:dyDescent="0.25">
      <c r="A111" t="s">
        <v>228</v>
      </c>
      <c r="B111" s="1" t="s">
        <v>229</v>
      </c>
      <c r="C111" t="s">
        <v>17</v>
      </c>
      <c r="D111" t="s">
        <v>230</v>
      </c>
      <c r="E111" t="s">
        <v>120</v>
      </c>
      <c r="F111" s="2">
        <v>45808</v>
      </c>
      <c r="G111" t="s">
        <v>20</v>
      </c>
      <c r="J111" t="b">
        <v>0</v>
      </c>
      <c r="M111" t="b">
        <v>0</v>
      </c>
      <c r="N111" t="b">
        <v>1</v>
      </c>
      <c r="P111" t="s">
        <v>1087</v>
      </c>
      <c r="Q111" s="34">
        <v>0.02</v>
      </c>
      <c r="R111" s="34">
        <v>7.0000000000000007E-2</v>
      </c>
    </row>
    <row r="112" spans="1:18" x14ac:dyDescent="0.25">
      <c r="A112" t="s">
        <v>231</v>
      </c>
      <c r="B112" s="1">
        <v>691180</v>
      </c>
      <c r="C112" t="s">
        <v>17</v>
      </c>
      <c r="D112" t="s">
        <v>232</v>
      </c>
      <c r="E112" t="s">
        <v>233</v>
      </c>
      <c r="F112" s="2">
        <v>45808</v>
      </c>
      <c r="G112" t="s">
        <v>24</v>
      </c>
      <c r="J112" t="s">
        <v>1087</v>
      </c>
      <c r="O112" t="s">
        <v>251</v>
      </c>
      <c r="P112" t="s">
        <v>1221</v>
      </c>
      <c r="Q112" s="34">
        <v>0.02</v>
      </c>
      <c r="R112" s="34">
        <v>0.04</v>
      </c>
    </row>
    <row r="113" spans="1:18" x14ac:dyDescent="0.25">
      <c r="A113" t="s">
        <v>234</v>
      </c>
      <c r="B113" s="1">
        <v>707683</v>
      </c>
      <c r="C113" t="s">
        <v>17</v>
      </c>
      <c r="D113" t="s">
        <v>235</v>
      </c>
      <c r="E113" t="s">
        <v>224</v>
      </c>
      <c r="F113" s="2">
        <v>45808</v>
      </c>
      <c r="G113" t="s">
        <v>24</v>
      </c>
      <c r="J113" t="s">
        <v>1087</v>
      </c>
      <c r="O113" t="s">
        <v>251</v>
      </c>
      <c r="P113" t="s">
        <v>1222</v>
      </c>
      <c r="Q113" s="34">
        <v>0.02</v>
      </c>
      <c r="R113" s="34">
        <v>0.04</v>
      </c>
    </row>
    <row r="114" spans="1:18" x14ac:dyDescent="0.25">
      <c r="A114" t="s">
        <v>236</v>
      </c>
      <c r="B114" s="1">
        <v>707636</v>
      </c>
      <c r="C114" t="s">
        <v>17</v>
      </c>
      <c r="D114" t="s">
        <v>237</v>
      </c>
      <c r="E114" t="s">
        <v>238</v>
      </c>
      <c r="F114" s="2">
        <v>45808</v>
      </c>
      <c r="G114" t="s">
        <v>24</v>
      </c>
      <c r="J114" t="s">
        <v>1087</v>
      </c>
      <c r="O114" t="s">
        <v>251</v>
      </c>
      <c r="P114" t="s">
        <v>1223</v>
      </c>
      <c r="Q114" s="34">
        <v>0.02</v>
      </c>
      <c r="R114" s="34">
        <v>0.04</v>
      </c>
    </row>
    <row r="115" spans="1:18" x14ac:dyDescent="0.25">
      <c r="A115" t="s">
        <v>239</v>
      </c>
      <c r="B115" s="1">
        <v>691179</v>
      </c>
      <c r="C115" t="s">
        <v>17</v>
      </c>
      <c r="D115" t="s">
        <v>240</v>
      </c>
      <c r="E115" t="s">
        <v>241</v>
      </c>
      <c r="F115" s="2">
        <v>45808</v>
      </c>
      <c r="G115" t="s">
        <v>24</v>
      </c>
      <c r="J115" t="s">
        <v>1087</v>
      </c>
      <c r="O115" t="s">
        <v>251</v>
      </c>
      <c r="P115" t="s">
        <v>1224</v>
      </c>
      <c r="Q115" s="34">
        <v>0.02</v>
      </c>
      <c r="R115" s="34">
        <v>0.04</v>
      </c>
    </row>
    <row r="116" spans="1:18" x14ac:dyDescent="0.25">
      <c r="A116" t="s">
        <v>242</v>
      </c>
      <c r="B116" s="1">
        <v>596998</v>
      </c>
      <c r="C116" t="s">
        <v>17</v>
      </c>
      <c r="D116" t="s">
        <v>243</v>
      </c>
      <c r="E116" t="s">
        <v>44</v>
      </c>
      <c r="F116" s="2">
        <v>45808</v>
      </c>
      <c r="G116" t="s">
        <v>24</v>
      </c>
      <c r="J116" t="s">
        <v>1087</v>
      </c>
      <c r="O116" t="s">
        <v>251</v>
      </c>
      <c r="P116" t="s">
        <v>1225</v>
      </c>
      <c r="Q116" s="34">
        <v>0.01</v>
      </c>
      <c r="R116" s="34">
        <v>0.03</v>
      </c>
    </row>
    <row r="117" spans="1:18" x14ac:dyDescent="0.25">
      <c r="A117" t="s">
        <v>244</v>
      </c>
      <c r="B117" s="1">
        <v>691178</v>
      </c>
      <c r="C117" t="s">
        <v>17</v>
      </c>
      <c r="D117" t="s">
        <v>245</v>
      </c>
      <c r="E117" t="s">
        <v>246</v>
      </c>
      <c r="F117" s="2">
        <v>45808</v>
      </c>
      <c r="G117" t="s">
        <v>24</v>
      </c>
      <c r="J117" t="s">
        <v>1087</v>
      </c>
      <c r="O117" t="s">
        <v>251</v>
      </c>
      <c r="P117" t="s">
        <v>1226</v>
      </c>
      <c r="Q117" s="34">
        <v>2.5000000000000001E-2</v>
      </c>
      <c r="R117" s="34">
        <v>4.4999999999999998E-2</v>
      </c>
    </row>
    <row r="118" spans="1:18" x14ac:dyDescent="0.25">
      <c r="A118" t="s">
        <v>380</v>
      </c>
      <c r="B118" s="1">
        <v>724730</v>
      </c>
      <c r="C118" t="s">
        <v>249</v>
      </c>
      <c r="D118" t="s">
        <v>381</v>
      </c>
      <c r="E118" t="s">
        <v>324</v>
      </c>
      <c r="F118" s="2">
        <v>45808</v>
      </c>
      <c r="G118" t="s">
        <v>24</v>
      </c>
      <c r="J118" t="s">
        <v>1087</v>
      </c>
      <c r="L118" s="2">
        <v>45991</v>
      </c>
      <c r="O118" t="s">
        <v>289</v>
      </c>
      <c r="P118" t="s">
        <v>1253</v>
      </c>
      <c r="Q118" s="34">
        <v>0.02</v>
      </c>
      <c r="R118" s="34">
        <v>0.04</v>
      </c>
    </row>
    <row r="119" spans="1:18" x14ac:dyDescent="0.25">
      <c r="A119" t="s">
        <v>1257</v>
      </c>
      <c r="B119" s="1">
        <v>729237</v>
      </c>
      <c r="C119" t="s">
        <v>17</v>
      </c>
      <c r="G119" t="s">
        <v>24</v>
      </c>
      <c r="L119" s="2">
        <v>46295</v>
      </c>
      <c r="O119" t="s">
        <v>289</v>
      </c>
      <c r="P119" t="s">
        <v>1370</v>
      </c>
      <c r="Q119" s="34">
        <v>0.03</v>
      </c>
      <c r="R119" s="34">
        <v>0.08</v>
      </c>
    </row>
    <row r="120" spans="1:18" x14ac:dyDescent="0.25">
      <c r="A120" t="s">
        <v>1258</v>
      </c>
      <c r="B120">
        <v>729235</v>
      </c>
      <c r="C120" t="s">
        <v>17</v>
      </c>
      <c r="G120" t="s">
        <v>24</v>
      </c>
      <c r="L120" s="2">
        <v>46173</v>
      </c>
      <c r="O120" s="19" t="s">
        <v>251</v>
      </c>
      <c r="P120" t="s">
        <v>1371</v>
      </c>
      <c r="Q120" s="34">
        <v>0.03</v>
      </c>
      <c r="R120" s="34">
        <v>0.15</v>
      </c>
    </row>
    <row r="121" spans="1:18" x14ac:dyDescent="0.25">
      <c r="A121" t="s">
        <v>1259</v>
      </c>
      <c r="B121">
        <v>727794</v>
      </c>
      <c r="C121" t="s">
        <v>17</v>
      </c>
      <c r="G121" t="s">
        <v>24</v>
      </c>
      <c r="L121" s="2">
        <v>46142</v>
      </c>
      <c r="O121" s="19" t="s">
        <v>251</v>
      </c>
      <c r="P121" t="s">
        <v>1372</v>
      </c>
      <c r="Q121" s="34">
        <v>0.02</v>
      </c>
      <c r="R121" s="34">
        <v>0.04</v>
      </c>
    </row>
    <row r="122" spans="1:18" x14ac:dyDescent="0.25">
      <c r="A122" t="s">
        <v>1260</v>
      </c>
      <c r="B122" t="s">
        <v>828</v>
      </c>
      <c r="C122" t="s">
        <v>249</v>
      </c>
      <c r="G122" t="s">
        <v>20</v>
      </c>
      <c r="L122" s="2">
        <v>46112</v>
      </c>
      <c r="O122" s="19" t="s">
        <v>289</v>
      </c>
      <c r="Q122" s="34">
        <v>1.2E-2</v>
      </c>
      <c r="R122" s="34">
        <v>0.04</v>
      </c>
    </row>
    <row r="123" spans="1:18" x14ac:dyDescent="0.25">
      <c r="A123" t="s">
        <v>1261</v>
      </c>
      <c r="B123" t="s">
        <v>1014</v>
      </c>
      <c r="C123" t="s">
        <v>249</v>
      </c>
      <c r="G123" t="s">
        <v>24</v>
      </c>
      <c r="L123" s="2">
        <v>46081</v>
      </c>
      <c r="O123" s="19" t="s">
        <v>251</v>
      </c>
      <c r="P123" t="s">
        <v>1373</v>
      </c>
      <c r="Q123" s="34">
        <v>8.0000000000000002E-3</v>
      </c>
      <c r="R123" s="34">
        <v>0.02</v>
      </c>
    </row>
    <row r="124" spans="1:18" x14ac:dyDescent="0.25">
      <c r="A124" t="s">
        <v>1262</v>
      </c>
      <c r="B124">
        <v>729236</v>
      </c>
      <c r="C124" t="s">
        <v>17</v>
      </c>
      <c r="G124" t="s">
        <v>24</v>
      </c>
      <c r="L124" s="2">
        <v>46142</v>
      </c>
      <c r="O124" s="19" t="s">
        <v>251</v>
      </c>
      <c r="P124" t="s">
        <v>1374</v>
      </c>
      <c r="Q124" s="34">
        <v>1.4999999999999999E-2</v>
      </c>
      <c r="R124" s="34">
        <v>0.04</v>
      </c>
    </row>
    <row r="125" spans="1:18" x14ac:dyDescent="0.25">
      <c r="A125" t="s">
        <v>1263</v>
      </c>
      <c r="B125" t="s">
        <v>1045</v>
      </c>
      <c r="C125" t="s">
        <v>17</v>
      </c>
      <c r="G125" t="s">
        <v>24</v>
      </c>
      <c r="L125" s="2">
        <v>46053</v>
      </c>
      <c r="O125" s="19" t="s">
        <v>251</v>
      </c>
      <c r="P125" t="s">
        <v>1375</v>
      </c>
      <c r="Q125" s="34">
        <v>5.0000000000000001E-3</v>
      </c>
      <c r="R125" s="34">
        <v>0.03</v>
      </c>
    </row>
    <row r="126" spans="1:18" x14ac:dyDescent="0.25">
      <c r="B126" s="1"/>
    </row>
    <row r="127" spans="1:18" x14ac:dyDescent="0.25">
      <c r="B127" s="1"/>
    </row>
    <row r="128" spans="1:18" x14ac:dyDescent="0.25">
      <c r="B128" s="1"/>
    </row>
    <row r="129" spans="2:2" x14ac:dyDescent="0.25">
      <c r="B129" s="7"/>
    </row>
    <row r="130" spans="2:2" x14ac:dyDescent="0.25">
      <c r="B130" s="7"/>
    </row>
    <row r="131" spans="2:2" x14ac:dyDescent="0.25">
      <c r="B131" s="7"/>
    </row>
    <row r="132" spans="2:2" x14ac:dyDescent="0.25">
      <c r="B132" s="15"/>
    </row>
    <row r="133" spans="2:2" x14ac:dyDescent="0.25">
      <c r="B133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E7FE-FBE4-43DC-8C5F-F32997A75C4E}">
  <sheetPr>
    <tabColor rgb="FFFFFF00"/>
  </sheetPr>
  <dimension ref="A1:E215"/>
  <sheetViews>
    <sheetView showGridLines="0" topLeftCell="A157" zoomScale="70" zoomScaleNormal="70" workbookViewId="0"/>
  </sheetViews>
  <sheetFormatPr defaultColWidth="9.140625" defaultRowHeight="15" x14ac:dyDescent="0.25"/>
  <cols>
    <col min="1" max="1" width="21.5703125" style="31" bestFit="1" customWidth="1"/>
    <col min="2" max="2" width="61.7109375" style="32" customWidth="1"/>
    <col min="3" max="3" width="59.28515625" style="32" customWidth="1"/>
    <col min="4" max="4" width="29.7109375" style="33" bestFit="1" customWidth="1"/>
    <col min="5" max="5" width="39.5703125" style="33" bestFit="1" customWidth="1"/>
    <col min="6" max="16384" width="9.140625" style="24"/>
  </cols>
  <sheetData>
    <row r="1" spans="1:5" x14ac:dyDescent="0.25">
      <c r="A1" s="20" t="s">
        <v>1266</v>
      </c>
      <c r="B1" s="21" t="s">
        <v>1267</v>
      </c>
      <c r="C1" s="22" t="s">
        <v>1268</v>
      </c>
      <c r="D1" s="23" t="s">
        <v>1269</v>
      </c>
      <c r="E1" s="23" t="s">
        <v>1270</v>
      </c>
    </row>
    <row r="2" spans="1:5" x14ac:dyDescent="0.25">
      <c r="A2" s="25">
        <v>169963</v>
      </c>
      <c r="B2" s="26" t="s">
        <v>1271</v>
      </c>
      <c r="C2" s="26" t="s">
        <v>1272</v>
      </c>
      <c r="D2" s="27">
        <v>2.5</v>
      </c>
      <c r="E2" s="27">
        <v>5</v>
      </c>
    </row>
    <row r="3" spans="1:5" x14ac:dyDescent="0.25">
      <c r="A3" s="25">
        <v>170032</v>
      </c>
      <c r="B3" s="26" t="s">
        <v>1273</v>
      </c>
      <c r="C3" s="26" t="s">
        <v>908</v>
      </c>
      <c r="D3" s="27">
        <v>2</v>
      </c>
      <c r="E3" s="27">
        <v>6</v>
      </c>
    </row>
    <row r="4" spans="1:5" x14ac:dyDescent="0.25">
      <c r="A4" s="25">
        <v>170730</v>
      </c>
      <c r="B4" s="26" t="s">
        <v>138</v>
      </c>
      <c r="C4" s="26" t="s">
        <v>975</v>
      </c>
      <c r="D4" s="27">
        <v>1.5</v>
      </c>
      <c r="E4" s="27">
        <v>5</v>
      </c>
    </row>
    <row r="5" spans="1:5" x14ac:dyDescent="0.25">
      <c r="A5" s="25">
        <v>170733</v>
      </c>
      <c r="B5" s="26" t="s">
        <v>1274</v>
      </c>
      <c r="C5" s="26" t="s">
        <v>975</v>
      </c>
      <c r="D5" s="27">
        <v>1.5</v>
      </c>
      <c r="E5" s="27">
        <v>5</v>
      </c>
    </row>
    <row r="6" spans="1:5" x14ac:dyDescent="0.25">
      <c r="A6" s="25">
        <v>596990</v>
      </c>
      <c r="B6" s="26" t="s">
        <v>84</v>
      </c>
      <c r="C6" s="26" t="s">
        <v>951</v>
      </c>
      <c r="D6" s="27">
        <v>0.5</v>
      </c>
      <c r="E6" s="27">
        <v>2</v>
      </c>
    </row>
    <row r="7" spans="1:5" x14ac:dyDescent="0.25">
      <c r="A7" s="25">
        <v>596994</v>
      </c>
      <c r="B7" s="26" t="s">
        <v>225</v>
      </c>
      <c r="C7" s="26" t="s">
        <v>1056</v>
      </c>
      <c r="D7" s="27">
        <v>0</v>
      </c>
      <c r="E7" s="27">
        <v>2</v>
      </c>
    </row>
    <row r="8" spans="1:5" x14ac:dyDescent="0.25">
      <c r="A8" s="25">
        <v>596998</v>
      </c>
      <c r="B8" s="26" t="s">
        <v>242</v>
      </c>
      <c r="C8" s="26" t="s">
        <v>1060</v>
      </c>
      <c r="D8" s="27">
        <v>1</v>
      </c>
      <c r="E8" s="27">
        <v>3</v>
      </c>
    </row>
    <row r="9" spans="1:5" x14ac:dyDescent="0.25">
      <c r="A9" s="25">
        <v>597009</v>
      </c>
      <c r="B9" s="26" t="s">
        <v>1275</v>
      </c>
      <c r="C9" s="26" t="s">
        <v>891</v>
      </c>
      <c r="D9" s="27">
        <v>1</v>
      </c>
      <c r="E9" s="27">
        <v>3</v>
      </c>
    </row>
    <row r="10" spans="1:5" x14ac:dyDescent="0.25">
      <c r="A10" s="25">
        <v>597012</v>
      </c>
      <c r="B10" s="26" t="s">
        <v>45</v>
      </c>
      <c r="C10" s="26" t="s">
        <v>891</v>
      </c>
      <c r="D10" s="27">
        <v>1</v>
      </c>
      <c r="E10" s="27">
        <v>3</v>
      </c>
    </row>
    <row r="11" spans="1:5" x14ac:dyDescent="0.25">
      <c r="A11" s="25">
        <v>597016</v>
      </c>
      <c r="B11" s="26" t="s">
        <v>1276</v>
      </c>
      <c r="C11" s="26" t="s">
        <v>891</v>
      </c>
      <c r="D11" s="27">
        <v>1</v>
      </c>
      <c r="E11" s="27">
        <v>3</v>
      </c>
    </row>
    <row r="12" spans="1:5" x14ac:dyDescent="0.25">
      <c r="A12" s="25">
        <v>642651</v>
      </c>
      <c r="B12" s="26" t="s">
        <v>1277</v>
      </c>
      <c r="C12" s="26" t="s">
        <v>947</v>
      </c>
      <c r="D12" s="27">
        <v>2</v>
      </c>
      <c r="E12" s="27">
        <v>5</v>
      </c>
    </row>
    <row r="13" spans="1:5" x14ac:dyDescent="0.25">
      <c r="A13" s="25">
        <v>645766</v>
      </c>
      <c r="B13" s="26" t="s">
        <v>222</v>
      </c>
      <c r="C13" s="26" t="s">
        <v>1052</v>
      </c>
      <c r="D13" s="27">
        <v>1.5</v>
      </c>
      <c r="E13" s="27">
        <v>4.5</v>
      </c>
    </row>
    <row r="14" spans="1:5" x14ac:dyDescent="0.25">
      <c r="A14" s="25">
        <v>657375</v>
      </c>
      <c r="B14" s="26" t="s">
        <v>252</v>
      </c>
      <c r="C14" s="26" t="s">
        <v>879</v>
      </c>
      <c r="D14" s="27">
        <v>2</v>
      </c>
      <c r="E14" s="27">
        <v>4.5</v>
      </c>
    </row>
    <row r="15" spans="1:5" x14ac:dyDescent="0.25">
      <c r="A15" s="25">
        <v>666297</v>
      </c>
      <c r="B15" s="26" t="s">
        <v>311</v>
      </c>
      <c r="C15" s="26" t="s">
        <v>1027</v>
      </c>
      <c r="D15" s="27">
        <v>1</v>
      </c>
      <c r="E15" s="27">
        <v>3</v>
      </c>
    </row>
    <row r="16" spans="1:5" x14ac:dyDescent="0.25">
      <c r="A16" s="25">
        <v>681724</v>
      </c>
      <c r="B16" s="26" t="s">
        <v>1278</v>
      </c>
      <c r="C16" s="26" t="s">
        <v>951</v>
      </c>
      <c r="D16" s="27">
        <v>0.5</v>
      </c>
      <c r="E16" s="27">
        <v>1</v>
      </c>
    </row>
    <row r="17" spans="1:5" x14ac:dyDescent="0.25">
      <c r="A17" s="25">
        <v>682588</v>
      </c>
      <c r="B17" s="26" t="s">
        <v>1279</v>
      </c>
      <c r="C17" s="26" t="s">
        <v>1002</v>
      </c>
      <c r="D17" s="27">
        <v>2</v>
      </c>
      <c r="E17" s="27">
        <v>6.5</v>
      </c>
    </row>
    <row r="18" spans="1:5" x14ac:dyDescent="0.25">
      <c r="A18" s="25">
        <v>682590</v>
      </c>
      <c r="B18" s="26" t="s">
        <v>197</v>
      </c>
      <c r="C18" s="26" t="s">
        <v>1037</v>
      </c>
      <c r="D18" s="27">
        <v>2</v>
      </c>
      <c r="E18" s="27">
        <v>3.5</v>
      </c>
    </row>
    <row r="19" spans="1:5" x14ac:dyDescent="0.25">
      <c r="A19" s="25">
        <v>682591</v>
      </c>
      <c r="B19" s="26" t="s">
        <v>1280</v>
      </c>
      <c r="C19" s="26" t="s">
        <v>1037</v>
      </c>
      <c r="D19" s="27">
        <v>2</v>
      </c>
      <c r="E19" s="27">
        <v>4</v>
      </c>
    </row>
    <row r="20" spans="1:5" x14ac:dyDescent="0.25">
      <c r="A20" s="25">
        <v>682592</v>
      </c>
      <c r="B20" s="26" t="s">
        <v>1281</v>
      </c>
      <c r="C20" s="26" t="s">
        <v>976</v>
      </c>
      <c r="D20" s="27">
        <v>1</v>
      </c>
      <c r="E20" s="27">
        <v>3</v>
      </c>
    </row>
    <row r="21" spans="1:5" x14ac:dyDescent="0.25">
      <c r="A21" s="25">
        <v>682593</v>
      </c>
      <c r="B21" s="26" t="s">
        <v>143</v>
      </c>
      <c r="C21" s="26" t="s">
        <v>976</v>
      </c>
      <c r="D21" s="27">
        <v>2</v>
      </c>
      <c r="E21" s="27">
        <v>3.5</v>
      </c>
    </row>
    <row r="22" spans="1:5" s="28" customFormat="1" x14ac:dyDescent="0.25">
      <c r="A22" s="25">
        <v>684489</v>
      </c>
      <c r="B22" s="26" t="s">
        <v>1280</v>
      </c>
      <c r="C22" s="26" t="s">
        <v>1037</v>
      </c>
      <c r="D22" s="27">
        <v>2</v>
      </c>
      <c r="E22" s="27">
        <v>4</v>
      </c>
    </row>
    <row r="23" spans="1:5" x14ac:dyDescent="0.25">
      <c r="A23" s="25">
        <v>684491</v>
      </c>
      <c r="B23" s="26" t="s">
        <v>1281</v>
      </c>
      <c r="C23" s="26" t="s">
        <v>976</v>
      </c>
      <c r="D23" s="27">
        <v>1</v>
      </c>
      <c r="E23" s="27">
        <v>3</v>
      </c>
    </row>
    <row r="24" spans="1:5" x14ac:dyDescent="0.25">
      <c r="A24" s="25">
        <v>684492</v>
      </c>
      <c r="B24" s="26" t="s">
        <v>143</v>
      </c>
      <c r="C24" s="26" t="s">
        <v>976</v>
      </c>
      <c r="D24" s="27">
        <v>2</v>
      </c>
      <c r="E24" s="27">
        <v>3.5</v>
      </c>
    </row>
    <row r="25" spans="1:5" x14ac:dyDescent="0.25">
      <c r="A25" s="25">
        <v>686585</v>
      </c>
      <c r="B25" s="26" t="s">
        <v>1282</v>
      </c>
      <c r="C25" s="26" t="s">
        <v>891</v>
      </c>
      <c r="D25" s="27">
        <v>1</v>
      </c>
      <c r="E25" s="27">
        <v>3</v>
      </c>
    </row>
    <row r="26" spans="1:5" ht="16.5" customHeight="1" x14ac:dyDescent="0.25">
      <c r="A26" s="25">
        <v>688330</v>
      </c>
      <c r="B26" s="26" t="s">
        <v>1283</v>
      </c>
      <c r="C26" s="26" t="s">
        <v>1002</v>
      </c>
      <c r="D26" s="27">
        <v>0.5</v>
      </c>
      <c r="E26" s="27">
        <v>1.75</v>
      </c>
    </row>
    <row r="27" spans="1:5" x14ac:dyDescent="0.25">
      <c r="A27" s="25">
        <v>689206</v>
      </c>
      <c r="B27" s="26" t="s">
        <v>1284</v>
      </c>
      <c r="C27" s="26" t="s">
        <v>1002</v>
      </c>
      <c r="D27" s="27">
        <v>0.5</v>
      </c>
      <c r="E27" s="27">
        <v>1.75</v>
      </c>
    </row>
    <row r="28" spans="1:5" s="28" customFormat="1" x14ac:dyDescent="0.25">
      <c r="A28" s="25">
        <v>689939</v>
      </c>
      <c r="B28" s="26" t="s">
        <v>1285</v>
      </c>
      <c r="C28" s="26" t="s">
        <v>927</v>
      </c>
      <c r="D28" s="27">
        <v>1.5</v>
      </c>
      <c r="E28" s="27">
        <v>1.8</v>
      </c>
    </row>
    <row r="29" spans="1:5" s="28" customFormat="1" x14ac:dyDescent="0.25">
      <c r="A29" s="25">
        <v>689942</v>
      </c>
      <c r="B29" s="26" t="s">
        <v>301</v>
      </c>
      <c r="C29" s="26" t="s">
        <v>1017</v>
      </c>
      <c r="D29" s="27">
        <v>0.5</v>
      </c>
      <c r="E29" s="27">
        <v>1.5</v>
      </c>
    </row>
    <row r="30" spans="1:5" s="28" customFormat="1" x14ac:dyDescent="0.25">
      <c r="A30" s="25">
        <v>691178</v>
      </c>
      <c r="B30" s="26" t="s">
        <v>244</v>
      </c>
      <c r="C30" s="26" t="s">
        <v>1060</v>
      </c>
      <c r="D30" s="27">
        <v>2.5</v>
      </c>
      <c r="E30" s="27">
        <v>4.5</v>
      </c>
    </row>
    <row r="31" spans="1:5" s="28" customFormat="1" x14ac:dyDescent="0.25">
      <c r="A31" s="25">
        <v>691179</v>
      </c>
      <c r="B31" s="26" t="s">
        <v>239</v>
      </c>
      <c r="C31" s="26" t="s">
        <v>1060</v>
      </c>
      <c r="D31" s="27">
        <v>2</v>
      </c>
      <c r="E31" s="27">
        <v>4</v>
      </c>
    </row>
    <row r="32" spans="1:5" s="28" customFormat="1" x14ac:dyDescent="0.25">
      <c r="A32" s="25">
        <v>691180</v>
      </c>
      <c r="B32" s="26" t="s">
        <v>231</v>
      </c>
      <c r="C32" s="26" t="s">
        <v>1060</v>
      </c>
      <c r="D32" s="27">
        <v>2</v>
      </c>
      <c r="E32" s="27">
        <v>4</v>
      </c>
    </row>
    <row r="33" spans="1:5" s="28" customFormat="1" x14ac:dyDescent="0.25">
      <c r="A33" s="25">
        <v>692350</v>
      </c>
      <c r="B33" s="26" t="s">
        <v>270</v>
      </c>
      <c r="C33" s="26" t="s">
        <v>940</v>
      </c>
      <c r="D33" s="27">
        <v>1</v>
      </c>
      <c r="E33" s="27">
        <v>3</v>
      </c>
    </row>
    <row r="34" spans="1:5" s="28" customFormat="1" x14ac:dyDescent="0.25">
      <c r="A34" s="25">
        <v>693764</v>
      </c>
      <c r="B34" s="26" t="s">
        <v>1286</v>
      </c>
      <c r="C34" s="26" t="s">
        <v>1050</v>
      </c>
      <c r="D34" s="27">
        <v>3.5</v>
      </c>
      <c r="E34" s="27">
        <v>6</v>
      </c>
    </row>
    <row r="35" spans="1:5" s="28" customFormat="1" x14ac:dyDescent="0.25">
      <c r="A35" s="25">
        <v>693779</v>
      </c>
      <c r="B35" s="26" t="s">
        <v>304</v>
      </c>
      <c r="C35" s="26" t="s">
        <v>1017</v>
      </c>
      <c r="D35" s="27">
        <v>1.5</v>
      </c>
      <c r="E35" s="27">
        <v>3.8</v>
      </c>
    </row>
    <row r="36" spans="1:5" s="28" customFormat="1" x14ac:dyDescent="0.25">
      <c r="A36" s="25">
        <v>698397</v>
      </c>
      <c r="B36" s="26" t="s">
        <v>242</v>
      </c>
      <c r="C36" s="26" t="s">
        <v>1060</v>
      </c>
      <c r="D36" s="27">
        <v>1</v>
      </c>
      <c r="E36" s="27">
        <v>3</v>
      </c>
    </row>
    <row r="37" spans="1:5" s="28" customFormat="1" x14ac:dyDescent="0.25">
      <c r="A37" s="25">
        <v>700087</v>
      </c>
      <c r="B37" s="26" t="s">
        <v>1287</v>
      </c>
      <c r="C37" s="26" t="s">
        <v>1050</v>
      </c>
      <c r="D37" s="27">
        <v>1.5</v>
      </c>
      <c r="E37" s="27">
        <v>5</v>
      </c>
    </row>
    <row r="38" spans="1:5" s="28" customFormat="1" x14ac:dyDescent="0.25">
      <c r="A38" s="25">
        <v>700206</v>
      </c>
      <c r="B38" s="26" t="s">
        <v>1288</v>
      </c>
      <c r="C38" s="26" t="s">
        <v>1050</v>
      </c>
      <c r="D38" s="27">
        <v>0.75</v>
      </c>
      <c r="E38" s="27">
        <v>2.5</v>
      </c>
    </row>
    <row r="39" spans="1:5" s="28" customFormat="1" x14ac:dyDescent="0.25">
      <c r="A39" s="25">
        <v>701535</v>
      </c>
      <c r="B39" s="26" t="s">
        <v>68</v>
      </c>
      <c r="C39" s="26" t="s">
        <v>917</v>
      </c>
      <c r="D39" s="27">
        <v>2.5</v>
      </c>
      <c r="E39" s="27">
        <v>10</v>
      </c>
    </row>
    <row r="40" spans="1:5" s="28" customFormat="1" x14ac:dyDescent="0.25">
      <c r="A40" s="25">
        <v>703827</v>
      </c>
      <c r="B40" s="26" t="s">
        <v>168</v>
      </c>
      <c r="C40" s="26" t="s">
        <v>1289</v>
      </c>
      <c r="D40" s="27">
        <v>3</v>
      </c>
      <c r="E40" s="27">
        <v>5</v>
      </c>
    </row>
    <row r="41" spans="1:5" s="28" customFormat="1" x14ac:dyDescent="0.25">
      <c r="A41" s="25">
        <v>704620</v>
      </c>
      <c r="B41" s="26" t="s">
        <v>219</v>
      </c>
      <c r="C41" s="26" t="s">
        <v>1051</v>
      </c>
      <c r="D41" s="27">
        <v>2.5</v>
      </c>
      <c r="E41" s="27">
        <v>6</v>
      </c>
    </row>
    <row r="42" spans="1:5" s="28" customFormat="1" x14ac:dyDescent="0.25">
      <c r="A42" s="25">
        <v>705861</v>
      </c>
      <c r="B42" s="26" t="s">
        <v>1282</v>
      </c>
      <c r="C42" s="26" t="s">
        <v>891</v>
      </c>
      <c r="D42" s="27">
        <v>1</v>
      </c>
      <c r="E42" s="27">
        <v>3</v>
      </c>
    </row>
    <row r="43" spans="1:5" s="28" customFormat="1" x14ac:dyDescent="0.25">
      <c r="A43" s="25">
        <v>706632</v>
      </c>
      <c r="B43" s="26" t="s">
        <v>186</v>
      </c>
      <c r="C43" s="26" t="s">
        <v>1034</v>
      </c>
      <c r="D43" s="27">
        <v>2</v>
      </c>
      <c r="E43" s="27">
        <v>6</v>
      </c>
    </row>
    <row r="44" spans="1:5" s="28" customFormat="1" x14ac:dyDescent="0.25">
      <c r="A44" s="25">
        <v>707636</v>
      </c>
      <c r="B44" s="26" t="s">
        <v>236</v>
      </c>
      <c r="C44" s="26" t="s">
        <v>1060</v>
      </c>
      <c r="D44" s="27">
        <v>2</v>
      </c>
      <c r="E44" s="27">
        <v>4</v>
      </c>
    </row>
    <row r="45" spans="1:5" s="28" customFormat="1" x14ac:dyDescent="0.25">
      <c r="A45" s="25">
        <v>707683</v>
      </c>
      <c r="B45" s="26" t="s">
        <v>234</v>
      </c>
      <c r="C45" s="26" t="s">
        <v>1060</v>
      </c>
      <c r="D45" s="27">
        <v>2</v>
      </c>
      <c r="E45" s="27">
        <v>4</v>
      </c>
    </row>
    <row r="46" spans="1:5" s="28" customFormat="1" ht="14.25" customHeight="1" x14ac:dyDescent="0.25">
      <c r="A46" s="25">
        <v>707793</v>
      </c>
      <c r="B46" s="26" t="s">
        <v>1282</v>
      </c>
      <c r="C46" s="26" t="s">
        <v>891</v>
      </c>
      <c r="D46" s="27">
        <v>1</v>
      </c>
      <c r="E46" s="27">
        <v>3</v>
      </c>
    </row>
    <row r="47" spans="1:5" s="28" customFormat="1" x14ac:dyDescent="0.25">
      <c r="A47" s="25">
        <v>708783</v>
      </c>
      <c r="B47" s="26" t="s">
        <v>176</v>
      </c>
      <c r="C47" s="26" t="s">
        <v>1029</v>
      </c>
      <c r="D47" s="27">
        <v>1.5</v>
      </c>
      <c r="E47" s="27">
        <v>5</v>
      </c>
    </row>
    <row r="48" spans="1:5" s="28" customFormat="1" x14ac:dyDescent="0.25">
      <c r="A48" s="25">
        <v>708784</v>
      </c>
      <c r="B48" s="26" t="s">
        <v>148</v>
      </c>
      <c r="C48" s="26" t="s">
        <v>1290</v>
      </c>
      <c r="D48" s="27">
        <v>1.5</v>
      </c>
      <c r="E48" s="27">
        <v>5</v>
      </c>
    </row>
    <row r="49" spans="1:5" s="28" customFormat="1" x14ac:dyDescent="0.25">
      <c r="A49" s="25">
        <v>708786</v>
      </c>
      <c r="B49" s="26" t="s">
        <v>1291</v>
      </c>
      <c r="C49" s="26" t="s">
        <v>868</v>
      </c>
      <c r="D49" s="27">
        <v>2</v>
      </c>
      <c r="E49" s="27">
        <v>4</v>
      </c>
    </row>
    <row r="50" spans="1:5" s="28" customFormat="1" x14ac:dyDescent="0.25">
      <c r="A50" s="25">
        <v>708787</v>
      </c>
      <c r="B50" s="26" t="s">
        <v>1292</v>
      </c>
      <c r="C50" s="26" t="s">
        <v>971</v>
      </c>
      <c r="D50" s="27">
        <v>3</v>
      </c>
      <c r="E50" s="27">
        <v>5</v>
      </c>
    </row>
    <row r="51" spans="1:5" s="28" customFormat="1" x14ac:dyDescent="0.25">
      <c r="A51" s="25">
        <v>709785</v>
      </c>
      <c r="B51" s="26" t="s">
        <v>1288</v>
      </c>
      <c r="C51" s="26" t="s">
        <v>1050</v>
      </c>
      <c r="D51" s="27">
        <v>0.75</v>
      </c>
      <c r="E51" s="27">
        <v>2.5</v>
      </c>
    </row>
    <row r="52" spans="1:5" s="28" customFormat="1" x14ac:dyDescent="0.25">
      <c r="A52" s="25">
        <v>711342</v>
      </c>
      <c r="B52" s="26" t="s">
        <v>94</v>
      </c>
      <c r="C52" s="26" t="s">
        <v>958</v>
      </c>
      <c r="D52" s="27">
        <v>2</v>
      </c>
      <c r="E52" s="27">
        <v>4</v>
      </c>
    </row>
    <row r="53" spans="1:5" s="28" customFormat="1" x14ac:dyDescent="0.25">
      <c r="A53" s="25">
        <v>712560</v>
      </c>
      <c r="B53" s="26" t="s">
        <v>87</v>
      </c>
      <c r="C53" s="26" t="s">
        <v>1293</v>
      </c>
      <c r="D53" s="27">
        <v>2</v>
      </c>
      <c r="E53" s="27">
        <v>5</v>
      </c>
    </row>
    <row r="54" spans="1:5" s="28" customFormat="1" x14ac:dyDescent="0.25">
      <c r="A54" s="25">
        <v>713408</v>
      </c>
      <c r="B54" s="26" t="s">
        <v>214</v>
      </c>
      <c r="C54" s="26" t="s">
        <v>1050</v>
      </c>
      <c r="D54" s="27">
        <v>3</v>
      </c>
      <c r="E54" s="27">
        <v>8</v>
      </c>
    </row>
    <row r="55" spans="1:5" s="28" customFormat="1" x14ac:dyDescent="0.25">
      <c r="A55" s="25">
        <v>713420</v>
      </c>
      <c r="B55" s="26" t="s">
        <v>151</v>
      </c>
      <c r="C55" s="26" t="s">
        <v>1290</v>
      </c>
      <c r="D55" s="27">
        <v>2.5</v>
      </c>
      <c r="E55" s="27">
        <v>7</v>
      </c>
    </row>
    <row r="56" spans="1:5" s="28" customFormat="1" x14ac:dyDescent="0.25">
      <c r="A56" s="25">
        <v>713421</v>
      </c>
      <c r="B56" s="26" t="s">
        <v>178</v>
      </c>
      <c r="C56" s="26" t="s">
        <v>1029</v>
      </c>
      <c r="D56" s="27">
        <v>3</v>
      </c>
      <c r="E56" s="27">
        <v>9</v>
      </c>
    </row>
    <row r="57" spans="1:5" s="28" customFormat="1" x14ac:dyDescent="0.25">
      <c r="A57" s="25">
        <v>713971</v>
      </c>
      <c r="B57" s="26" t="s">
        <v>180</v>
      </c>
      <c r="C57" s="26" t="s">
        <v>1029</v>
      </c>
      <c r="D57" s="27">
        <v>1</v>
      </c>
      <c r="E57" s="27">
        <v>4.5</v>
      </c>
    </row>
    <row r="58" spans="1:5" s="28" customFormat="1" x14ac:dyDescent="0.25">
      <c r="A58" s="25">
        <v>714113</v>
      </c>
      <c r="B58" s="26" t="s">
        <v>130</v>
      </c>
      <c r="C58" s="26" t="s">
        <v>971</v>
      </c>
      <c r="D58" s="27">
        <v>4</v>
      </c>
      <c r="E58" s="27">
        <v>6</v>
      </c>
    </row>
    <row r="59" spans="1:5" s="28" customFormat="1" x14ac:dyDescent="0.25">
      <c r="A59" s="25">
        <v>714548</v>
      </c>
      <c r="B59" s="26" t="s">
        <v>63</v>
      </c>
      <c r="C59" s="26" t="s">
        <v>911</v>
      </c>
      <c r="D59" s="27">
        <v>2</v>
      </c>
      <c r="E59" s="27">
        <v>7</v>
      </c>
    </row>
    <row r="60" spans="1:5" s="28" customFormat="1" x14ac:dyDescent="0.25">
      <c r="A60" s="25">
        <v>714703</v>
      </c>
      <c r="B60" s="26" t="s">
        <v>114</v>
      </c>
      <c r="C60" s="26" t="s">
        <v>960</v>
      </c>
      <c r="D60" s="27">
        <v>1.5</v>
      </c>
      <c r="E60" s="27">
        <v>5</v>
      </c>
    </row>
    <row r="61" spans="1:5" s="28" customFormat="1" x14ac:dyDescent="0.25">
      <c r="A61" s="25">
        <v>714941</v>
      </c>
      <c r="B61" s="26" t="s">
        <v>159</v>
      </c>
      <c r="C61" s="26" t="s">
        <v>999</v>
      </c>
      <c r="D61" s="27">
        <v>2</v>
      </c>
      <c r="E61" s="27">
        <v>6</v>
      </c>
    </row>
    <row r="62" spans="1:5" s="28" customFormat="1" x14ac:dyDescent="0.25">
      <c r="A62" s="25">
        <v>716012</v>
      </c>
      <c r="B62" s="26" t="s">
        <v>311</v>
      </c>
      <c r="C62" s="26" t="s">
        <v>1027</v>
      </c>
      <c r="D62" s="27">
        <v>1</v>
      </c>
      <c r="E62" s="27">
        <v>3</v>
      </c>
    </row>
    <row r="63" spans="1:5" s="28" customFormat="1" x14ac:dyDescent="0.25">
      <c r="A63" s="25">
        <v>716405</v>
      </c>
      <c r="B63" s="26" t="s">
        <v>121</v>
      </c>
      <c r="C63" s="26" t="s">
        <v>1294</v>
      </c>
      <c r="D63" s="27">
        <v>5</v>
      </c>
      <c r="E63" s="27">
        <v>8</v>
      </c>
    </row>
    <row r="64" spans="1:5" s="28" customFormat="1" x14ac:dyDescent="0.25">
      <c r="A64" s="25">
        <v>716406</v>
      </c>
      <c r="B64" s="26" t="s">
        <v>208</v>
      </c>
      <c r="C64" s="26" t="s">
        <v>1295</v>
      </c>
      <c r="D64" s="27">
        <v>1.5</v>
      </c>
      <c r="E64" s="27">
        <v>7</v>
      </c>
    </row>
    <row r="65" spans="1:5" s="28" customFormat="1" x14ac:dyDescent="0.25">
      <c r="A65" s="25">
        <v>716407</v>
      </c>
      <c r="B65" s="26" t="s">
        <v>65</v>
      </c>
      <c r="C65" s="26" t="s">
        <v>911</v>
      </c>
      <c r="D65" s="27">
        <v>2.5</v>
      </c>
      <c r="E65" s="27">
        <v>4</v>
      </c>
    </row>
    <row r="66" spans="1:5" s="28" customFormat="1" x14ac:dyDescent="0.25">
      <c r="A66" s="25">
        <v>716408</v>
      </c>
      <c r="B66" s="26" t="s">
        <v>63</v>
      </c>
      <c r="C66" s="26" t="s">
        <v>911</v>
      </c>
      <c r="D66" s="27">
        <v>2</v>
      </c>
      <c r="E66" s="27">
        <v>7</v>
      </c>
    </row>
    <row r="67" spans="1:5" s="28" customFormat="1" x14ac:dyDescent="0.25">
      <c r="A67" s="25">
        <v>716541</v>
      </c>
      <c r="B67" s="26" t="s">
        <v>132</v>
      </c>
      <c r="C67" s="26" t="s">
        <v>974</v>
      </c>
      <c r="D67" s="27">
        <v>2</v>
      </c>
      <c r="E67" s="27">
        <v>6</v>
      </c>
    </row>
    <row r="68" spans="1:5" s="28" customFormat="1" x14ac:dyDescent="0.25">
      <c r="A68" s="25">
        <v>716542</v>
      </c>
      <c r="B68" s="26" t="s">
        <v>132</v>
      </c>
      <c r="C68" s="26" t="s">
        <v>974</v>
      </c>
      <c r="D68" s="27">
        <v>2</v>
      </c>
      <c r="E68" s="27">
        <v>6</v>
      </c>
    </row>
    <row r="69" spans="1:5" s="28" customFormat="1" x14ac:dyDescent="0.25">
      <c r="A69" s="25">
        <v>716543</v>
      </c>
      <c r="B69" s="26" t="s">
        <v>1036</v>
      </c>
      <c r="C69" s="26" t="s">
        <v>1034</v>
      </c>
      <c r="D69" s="27">
        <v>2</v>
      </c>
      <c r="E69" s="27">
        <v>6</v>
      </c>
    </row>
    <row r="70" spans="1:5" s="28" customFormat="1" x14ac:dyDescent="0.25">
      <c r="A70" s="25">
        <v>716676</v>
      </c>
      <c r="B70" s="26" t="s">
        <v>143</v>
      </c>
      <c r="C70" s="26" t="s">
        <v>976</v>
      </c>
      <c r="D70" s="27">
        <v>2</v>
      </c>
      <c r="E70" s="27">
        <v>3.5</v>
      </c>
    </row>
    <row r="71" spans="1:5" s="28" customFormat="1" x14ac:dyDescent="0.25">
      <c r="A71" s="25">
        <v>716679</v>
      </c>
      <c r="B71" s="26" t="s">
        <v>1296</v>
      </c>
      <c r="C71" s="26" t="s">
        <v>1027</v>
      </c>
      <c r="D71" s="27">
        <v>1</v>
      </c>
      <c r="E71" s="27">
        <v>3</v>
      </c>
    </row>
    <row r="72" spans="1:5" s="28" customFormat="1" x14ac:dyDescent="0.25">
      <c r="A72" s="25">
        <v>716844</v>
      </c>
      <c r="B72" s="26" t="s">
        <v>183</v>
      </c>
      <c r="C72" s="26" t="s">
        <v>1030</v>
      </c>
      <c r="D72" s="27">
        <v>2</v>
      </c>
      <c r="E72" s="27">
        <v>6</v>
      </c>
    </row>
    <row r="73" spans="1:5" s="28" customFormat="1" x14ac:dyDescent="0.25">
      <c r="A73" s="25">
        <v>716863</v>
      </c>
      <c r="B73" s="26" t="s">
        <v>154</v>
      </c>
      <c r="C73" s="26" t="s">
        <v>991</v>
      </c>
      <c r="D73" s="27">
        <v>2</v>
      </c>
      <c r="E73" s="27">
        <v>5</v>
      </c>
    </row>
    <row r="74" spans="1:5" s="28" customFormat="1" x14ac:dyDescent="0.25">
      <c r="A74" s="25">
        <v>716926</v>
      </c>
      <c r="B74" s="26" t="s">
        <v>203</v>
      </c>
      <c r="C74" s="26" t="s">
        <v>1048</v>
      </c>
      <c r="D74" s="27">
        <v>2</v>
      </c>
      <c r="E74" s="27">
        <v>5</v>
      </c>
    </row>
    <row r="75" spans="1:5" s="28" customFormat="1" x14ac:dyDescent="0.25">
      <c r="A75" s="25">
        <v>716958</v>
      </c>
      <c r="B75" s="26" t="s">
        <v>203</v>
      </c>
      <c r="C75" s="26" t="s">
        <v>1048</v>
      </c>
      <c r="D75" s="27">
        <v>2</v>
      </c>
      <c r="E75" s="27">
        <v>5</v>
      </c>
    </row>
    <row r="76" spans="1:5" s="28" customFormat="1" x14ac:dyDescent="0.25">
      <c r="A76" s="25">
        <v>717479</v>
      </c>
      <c r="B76" s="26" t="s">
        <v>154</v>
      </c>
      <c r="C76" s="26" t="s">
        <v>991</v>
      </c>
      <c r="D76" s="27">
        <v>2</v>
      </c>
      <c r="E76" s="27">
        <v>5</v>
      </c>
    </row>
    <row r="77" spans="1:5" s="28" customFormat="1" x14ac:dyDescent="0.25">
      <c r="A77" s="25">
        <v>718556</v>
      </c>
      <c r="B77" s="26" t="s">
        <v>138</v>
      </c>
      <c r="C77" s="26" t="s">
        <v>975</v>
      </c>
      <c r="D77" s="27">
        <v>1.5</v>
      </c>
      <c r="E77" s="27">
        <v>5</v>
      </c>
    </row>
    <row r="78" spans="1:5" s="28" customFormat="1" x14ac:dyDescent="0.25">
      <c r="A78" s="25">
        <v>718928</v>
      </c>
      <c r="B78" s="26" t="s">
        <v>360</v>
      </c>
      <c r="C78" s="26" t="s">
        <v>960</v>
      </c>
      <c r="D78" s="27">
        <v>1.5</v>
      </c>
      <c r="E78" s="27">
        <v>5</v>
      </c>
    </row>
    <row r="79" spans="1:5" s="28" customFormat="1" x14ac:dyDescent="0.25">
      <c r="A79" s="25">
        <v>718929</v>
      </c>
      <c r="B79" s="26" t="s">
        <v>357</v>
      </c>
      <c r="C79" s="26" t="s">
        <v>1050</v>
      </c>
      <c r="D79" s="27">
        <v>1</v>
      </c>
      <c r="E79" s="27">
        <v>5</v>
      </c>
    </row>
    <row r="80" spans="1:5" s="28" customFormat="1" x14ac:dyDescent="0.25">
      <c r="A80" s="25">
        <v>718930</v>
      </c>
      <c r="B80" s="26" t="s">
        <v>1297</v>
      </c>
      <c r="C80" s="26" t="s">
        <v>1002</v>
      </c>
      <c r="D80" s="27">
        <v>1.2</v>
      </c>
      <c r="E80" s="27">
        <v>2.6</v>
      </c>
    </row>
    <row r="81" spans="1:5" s="28" customFormat="1" x14ac:dyDescent="0.25">
      <c r="A81" s="25">
        <v>718931</v>
      </c>
      <c r="B81" s="26" t="s">
        <v>354</v>
      </c>
      <c r="C81" s="26" t="s">
        <v>1037</v>
      </c>
      <c r="D81" s="27">
        <v>1.5</v>
      </c>
      <c r="E81" s="27">
        <v>5</v>
      </c>
    </row>
    <row r="82" spans="1:5" s="28" customFormat="1" x14ac:dyDescent="0.25">
      <c r="A82" s="25">
        <v>719168</v>
      </c>
      <c r="B82" s="26" t="s">
        <v>1298</v>
      </c>
      <c r="C82" s="26" t="s">
        <v>1299</v>
      </c>
      <c r="D82" s="27">
        <v>2.5</v>
      </c>
      <c r="E82" s="27">
        <v>4</v>
      </c>
    </row>
    <row r="83" spans="1:5" s="28" customFormat="1" x14ac:dyDescent="0.25">
      <c r="A83" s="25">
        <v>719169</v>
      </c>
      <c r="B83" s="26" t="s">
        <v>1300</v>
      </c>
      <c r="C83" s="26" t="s">
        <v>1299</v>
      </c>
      <c r="D83" s="27">
        <v>1.5</v>
      </c>
      <c r="E83" s="27">
        <v>6</v>
      </c>
    </row>
    <row r="84" spans="1:5" s="28" customFormat="1" x14ac:dyDescent="0.25">
      <c r="A84" s="25">
        <v>720798</v>
      </c>
      <c r="B84" s="26" t="s">
        <v>346</v>
      </c>
      <c r="C84" s="26" t="s">
        <v>998</v>
      </c>
      <c r="D84" s="27">
        <v>1.25</v>
      </c>
      <c r="E84" s="27">
        <v>3.25</v>
      </c>
    </row>
    <row r="85" spans="1:5" s="28" customFormat="1" x14ac:dyDescent="0.25">
      <c r="A85" s="25">
        <v>722285</v>
      </c>
      <c r="B85" s="26" t="s">
        <v>362</v>
      </c>
      <c r="C85" s="26" t="s">
        <v>935</v>
      </c>
      <c r="D85" s="27">
        <v>1.5</v>
      </c>
      <c r="E85" s="27">
        <v>6</v>
      </c>
    </row>
    <row r="86" spans="1:5" s="28" customFormat="1" x14ac:dyDescent="0.25">
      <c r="A86" s="25">
        <v>722431</v>
      </c>
      <c r="B86" s="26" t="s">
        <v>349</v>
      </c>
      <c r="C86" s="26" t="s">
        <v>1301</v>
      </c>
      <c r="D86" s="27">
        <v>1</v>
      </c>
      <c r="E86" s="27">
        <v>2.5</v>
      </c>
    </row>
    <row r="87" spans="1:5" s="28" customFormat="1" x14ac:dyDescent="0.25">
      <c r="A87" s="25">
        <v>724570</v>
      </c>
      <c r="B87" s="26" t="s">
        <v>63</v>
      </c>
      <c r="C87" s="26" t="s">
        <v>911</v>
      </c>
      <c r="D87" s="27">
        <v>2</v>
      </c>
      <c r="E87" s="27">
        <v>7</v>
      </c>
    </row>
    <row r="88" spans="1:5" s="28" customFormat="1" x14ac:dyDescent="0.25">
      <c r="A88" s="25">
        <v>724571</v>
      </c>
      <c r="B88" s="26" t="s">
        <v>63</v>
      </c>
      <c r="C88" s="26" t="s">
        <v>911</v>
      </c>
      <c r="D88" s="27">
        <v>2</v>
      </c>
      <c r="E88" s="27">
        <v>7</v>
      </c>
    </row>
    <row r="89" spans="1:5" s="28" customFormat="1" x14ac:dyDescent="0.25">
      <c r="A89" s="25">
        <v>724572</v>
      </c>
      <c r="B89" s="26" t="s">
        <v>1302</v>
      </c>
      <c r="C89" s="26" t="s">
        <v>1303</v>
      </c>
      <c r="D89" s="27">
        <v>1.5</v>
      </c>
      <c r="E89" s="27">
        <v>6</v>
      </c>
    </row>
    <row r="90" spans="1:5" s="28" customFormat="1" x14ac:dyDescent="0.25">
      <c r="A90" s="25">
        <v>724627</v>
      </c>
      <c r="B90" s="26" t="s">
        <v>1273</v>
      </c>
      <c r="C90" s="26" t="s">
        <v>908</v>
      </c>
      <c r="D90" s="27">
        <v>2</v>
      </c>
      <c r="E90" s="27">
        <v>6</v>
      </c>
    </row>
    <row r="91" spans="1:5" s="28" customFormat="1" x14ac:dyDescent="0.25">
      <c r="A91" s="25">
        <v>724628</v>
      </c>
      <c r="B91" s="26" t="s">
        <v>1273</v>
      </c>
      <c r="C91" s="26" t="s">
        <v>908</v>
      </c>
      <c r="D91" s="27">
        <v>2</v>
      </c>
      <c r="E91" s="27">
        <v>6</v>
      </c>
    </row>
    <row r="92" spans="1:5" s="28" customFormat="1" x14ac:dyDescent="0.25">
      <c r="A92" s="25">
        <v>724730</v>
      </c>
      <c r="B92" s="26" t="s">
        <v>1304</v>
      </c>
      <c r="C92" s="26" t="s">
        <v>1305</v>
      </c>
      <c r="D92" s="27">
        <v>2</v>
      </c>
      <c r="E92" s="27">
        <v>4</v>
      </c>
    </row>
    <row r="93" spans="1:5" s="28" customFormat="1" x14ac:dyDescent="0.25">
      <c r="A93" s="25">
        <v>724767</v>
      </c>
      <c r="B93" s="26" t="s">
        <v>1306</v>
      </c>
      <c r="C93" s="26" t="s">
        <v>1307</v>
      </c>
      <c r="D93" s="27">
        <v>2</v>
      </c>
      <c r="E93" s="27">
        <v>3</v>
      </c>
    </row>
    <row r="94" spans="1:5" s="28" customFormat="1" x14ac:dyDescent="0.25">
      <c r="A94" s="25">
        <v>726052</v>
      </c>
      <c r="B94" s="26" t="s">
        <v>1308</v>
      </c>
      <c r="C94" s="26" t="s">
        <v>976</v>
      </c>
      <c r="D94" s="27">
        <v>0.5</v>
      </c>
      <c r="E94" s="27">
        <v>1</v>
      </c>
    </row>
    <row r="95" spans="1:5" s="28" customFormat="1" x14ac:dyDescent="0.25">
      <c r="A95" s="25">
        <v>726053</v>
      </c>
      <c r="B95" s="26" t="s">
        <v>191</v>
      </c>
      <c r="C95" s="26" t="s">
        <v>1037</v>
      </c>
      <c r="D95" s="27">
        <v>2.5</v>
      </c>
      <c r="E95" s="27">
        <v>4</v>
      </c>
    </row>
    <row r="96" spans="1:5" s="28" customFormat="1" x14ac:dyDescent="0.25">
      <c r="A96" s="25">
        <v>726054</v>
      </c>
      <c r="B96" s="26" t="s">
        <v>191</v>
      </c>
      <c r="C96" s="26" t="s">
        <v>1037</v>
      </c>
      <c r="D96" s="27">
        <v>2.5</v>
      </c>
      <c r="E96" s="27">
        <v>4</v>
      </c>
    </row>
    <row r="97" spans="1:5" s="28" customFormat="1" x14ac:dyDescent="0.25">
      <c r="A97" s="25">
        <v>727783</v>
      </c>
      <c r="B97" s="26" t="s">
        <v>1282</v>
      </c>
      <c r="C97" s="26" t="s">
        <v>891</v>
      </c>
      <c r="D97" s="27">
        <v>1</v>
      </c>
      <c r="E97" s="27">
        <v>3</v>
      </c>
    </row>
    <row r="98" spans="1:5" s="28" customFormat="1" x14ac:dyDescent="0.25">
      <c r="A98" s="25">
        <v>727784</v>
      </c>
      <c r="B98" s="26" t="s">
        <v>301</v>
      </c>
      <c r="C98" s="26" t="s">
        <v>1017</v>
      </c>
      <c r="D98" s="27">
        <v>0.5</v>
      </c>
      <c r="E98" s="27">
        <v>1.5</v>
      </c>
    </row>
    <row r="99" spans="1:5" s="28" customFormat="1" x14ac:dyDescent="0.25">
      <c r="A99" s="25">
        <v>727786</v>
      </c>
      <c r="B99" s="26" t="s">
        <v>1280</v>
      </c>
      <c r="C99" s="26" t="s">
        <v>1037</v>
      </c>
      <c r="D99" s="27">
        <v>2</v>
      </c>
      <c r="E99" s="27">
        <v>4</v>
      </c>
    </row>
    <row r="100" spans="1:5" s="28" customFormat="1" x14ac:dyDescent="0.25">
      <c r="A100" s="25">
        <v>727789</v>
      </c>
      <c r="B100" s="26" t="s">
        <v>242</v>
      </c>
      <c r="C100" s="26" t="s">
        <v>1060</v>
      </c>
      <c r="D100" s="27">
        <v>1</v>
      </c>
      <c r="E100" s="27">
        <v>3</v>
      </c>
    </row>
    <row r="101" spans="1:5" s="28" customFormat="1" x14ac:dyDescent="0.25">
      <c r="A101" s="25">
        <v>727790</v>
      </c>
      <c r="B101" s="26" t="s">
        <v>1273</v>
      </c>
      <c r="C101" s="26" t="s">
        <v>908</v>
      </c>
      <c r="D101" s="27">
        <v>2</v>
      </c>
      <c r="E101" s="27">
        <v>6</v>
      </c>
    </row>
    <row r="102" spans="1:5" s="28" customFormat="1" x14ac:dyDescent="0.25">
      <c r="A102" s="25">
        <v>727791</v>
      </c>
      <c r="B102" s="26" t="s">
        <v>63</v>
      </c>
      <c r="C102" s="26" t="s">
        <v>911</v>
      </c>
      <c r="D102" s="27">
        <v>2</v>
      </c>
      <c r="E102" s="27">
        <v>7</v>
      </c>
    </row>
    <row r="103" spans="1:5" s="28" customFormat="1" x14ac:dyDescent="0.25">
      <c r="A103" s="25">
        <v>727792</v>
      </c>
      <c r="B103" s="26" t="s">
        <v>183</v>
      </c>
      <c r="C103" s="26" t="s">
        <v>1030</v>
      </c>
      <c r="D103" s="27">
        <v>2</v>
      </c>
      <c r="E103" s="27">
        <v>6</v>
      </c>
    </row>
    <row r="104" spans="1:5" s="28" customFormat="1" x14ac:dyDescent="0.25">
      <c r="A104" s="25">
        <v>727794</v>
      </c>
      <c r="B104" s="26" t="s">
        <v>1259</v>
      </c>
      <c r="C104" s="26" t="s">
        <v>994</v>
      </c>
      <c r="D104" s="27">
        <v>2</v>
      </c>
      <c r="E104" s="27">
        <v>4</v>
      </c>
    </row>
    <row r="105" spans="1:5" s="28" customFormat="1" x14ac:dyDescent="0.25">
      <c r="A105" s="25">
        <v>728108</v>
      </c>
      <c r="B105" s="26" t="s">
        <v>63</v>
      </c>
      <c r="C105" s="26" t="s">
        <v>911</v>
      </c>
      <c r="D105" s="27">
        <v>2</v>
      </c>
      <c r="E105" s="27">
        <v>7</v>
      </c>
    </row>
    <row r="106" spans="1:5" s="28" customFormat="1" x14ac:dyDescent="0.25">
      <c r="A106" s="25">
        <v>728109</v>
      </c>
      <c r="B106" s="26" t="s">
        <v>183</v>
      </c>
      <c r="C106" s="26" t="s">
        <v>1030</v>
      </c>
      <c r="D106" s="27">
        <v>2</v>
      </c>
      <c r="E106" s="27">
        <v>6</v>
      </c>
    </row>
    <row r="107" spans="1:5" s="28" customFormat="1" x14ac:dyDescent="0.25">
      <c r="A107" s="25">
        <v>728110</v>
      </c>
      <c r="B107" s="26" t="s">
        <v>164</v>
      </c>
      <c r="C107" s="26" t="s">
        <v>1024</v>
      </c>
      <c r="D107" s="27">
        <v>2.25</v>
      </c>
      <c r="E107" s="27">
        <v>4.5</v>
      </c>
    </row>
    <row r="108" spans="1:5" s="28" customFormat="1" x14ac:dyDescent="0.25">
      <c r="A108" s="25">
        <v>728111</v>
      </c>
      <c r="B108" s="26" t="s">
        <v>161</v>
      </c>
      <c r="C108" s="26" t="s">
        <v>1024</v>
      </c>
      <c r="D108" s="27">
        <v>2</v>
      </c>
      <c r="E108" s="27">
        <v>5</v>
      </c>
    </row>
    <row r="109" spans="1:5" s="28" customFormat="1" x14ac:dyDescent="0.25">
      <c r="A109" s="25">
        <v>728114</v>
      </c>
      <c r="B109" s="26" t="s">
        <v>164</v>
      </c>
      <c r="C109" s="26" t="s">
        <v>1024</v>
      </c>
      <c r="D109" s="27">
        <v>2.25</v>
      </c>
      <c r="E109" s="27">
        <v>4.5</v>
      </c>
    </row>
    <row r="110" spans="1:5" s="28" customFormat="1" x14ac:dyDescent="0.25">
      <c r="A110" s="25">
        <v>729232</v>
      </c>
      <c r="B110" s="26" t="s">
        <v>1309</v>
      </c>
      <c r="C110" s="26" t="s">
        <v>911</v>
      </c>
      <c r="D110" s="27">
        <v>2.5</v>
      </c>
      <c r="E110" s="27">
        <v>6</v>
      </c>
    </row>
    <row r="111" spans="1:5" s="28" customFormat="1" x14ac:dyDescent="0.25">
      <c r="A111" s="25">
        <v>729233</v>
      </c>
      <c r="B111" s="26" t="s">
        <v>1310</v>
      </c>
      <c r="C111" s="26" t="s">
        <v>908</v>
      </c>
      <c r="D111" s="27">
        <v>2.5</v>
      </c>
      <c r="E111" s="27">
        <v>6</v>
      </c>
    </row>
    <row r="112" spans="1:5" s="28" customFormat="1" x14ac:dyDescent="0.25">
      <c r="A112" s="25">
        <v>729235</v>
      </c>
      <c r="B112" s="26" t="s">
        <v>1311</v>
      </c>
      <c r="C112" s="26" t="s">
        <v>959</v>
      </c>
      <c r="D112" s="27">
        <v>3</v>
      </c>
      <c r="E112" s="27">
        <v>15</v>
      </c>
    </row>
    <row r="113" spans="1:5" s="28" customFormat="1" x14ac:dyDescent="0.25">
      <c r="A113" s="25">
        <v>729236</v>
      </c>
      <c r="B113" s="26" t="s">
        <v>1262</v>
      </c>
      <c r="C113" s="26" t="s">
        <v>1031</v>
      </c>
      <c r="D113" s="27">
        <v>1.5</v>
      </c>
      <c r="E113" s="27">
        <v>4</v>
      </c>
    </row>
    <row r="114" spans="1:5" s="28" customFormat="1" x14ac:dyDescent="0.25">
      <c r="A114" s="25">
        <v>729237</v>
      </c>
      <c r="B114" s="26" t="s">
        <v>1312</v>
      </c>
      <c r="C114" s="26" t="s">
        <v>1257</v>
      </c>
      <c r="D114" s="27">
        <v>3</v>
      </c>
      <c r="E114" s="27">
        <v>8</v>
      </c>
    </row>
    <row r="115" spans="1:5" s="28" customFormat="1" x14ac:dyDescent="0.25">
      <c r="A115" s="25">
        <v>729238</v>
      </c>
      <c r="B115" s="26" t="s">
        <v>1313</v>
      </c>
      <c r="C115" s="26" t="s">
        <v>1314</v>
      </c>
      <c r="D115" s="27">
        <v>3</v>
      </c>
      <c r="E115" s="27">
        <v>8</v>
      </c>
    </row>
    <row r="116" spans="1:5" s="28" customFormat="1" x14ac:dyDescent="0.25">
      <c r="A116" s="25">
        <v>729695</v>
      </c>
      <c r="B116" s="26" t="s">
        <v>1315</v>
      </c>
      <c r="C116" s="26" t="s">
        <v>1316</v>
      </c>
      <c r="D116" s="27">
        <v>3</v>
      </c>
      <c r="E116" s="27">
        <v>7</v>
      </c>
    </row>
    <row r="117" spans="1:5" x14ac:dyDescent="0.25">
      <c r="A117" s="25" t="s">
        <v>1014</v>
      </c>
      <c r="B117" s="26" t="s">
        <v>1261</v>
      </c>
      <c r="C117" s="26" t="s">
        <v>1015</v>
      </c>
      <c r="D117" s="27">
        <v>0.8</v>
      </c>
      <c r="E117" s="27">
        <v>2</v>
      </c>
    </row>
    <row r="118" spans="1:5" s="28" customFormat="1" x14ac:dyDescent="0.25">
      <c r="A118" s="25" t="s">
        <v>366</v>
      </c>
      <c r="B118" s="26" t="s">
        <v>1317</v>
      </c>
      <c r="C118" s="26" t="s">
        <v>1318</v>
      </c>
      <c r="D118" s="27">
        <v>1.25</v>
      </c>
      <c r="E118" s="27">
        <v>3.5</v>
      </c>
    </row>
    <row r="119" spans="1:5" s="28" customFormat="1" x14ac:dyDescent="0.25">
      <c r="A119" s="25" t="s">
        <v>260</v>
      </c>
      <c r="B119" s="26" t="s">
        <v>1319</v>
      </c>
      <c r="C119" s="26" t="s">
        <v>1320</v>
      </c>
      <c r="D119" s="27">
        <v>0.8</v>
      </c>
      <c r="E119" s="27">
        <v>2</v>
      </c>
    </row>
    <row r="120" spans="1:5" s="28" customFormat="1" x14ac:dyDescent="0.25">
      <c r="A120" s="25" t="s">
        <v>955</v>
      </c>
      <c r="B120" s="26" t="s">
        <v>1278</v>
      </c>
      <c r="C120" s="26" t="s">
        <v>951</v>
      </c>
      <c r="D120" s="27">
        <v>0.5</v>
      </c>
      <c r="E120" s="27">
        <v>1</v>
      </c>
    </row>
    <row r="121" spans="1:5" s="28" customFormat="1" x14ac:dyDescent="0.25">
      <c r="A121" s="25" t="s">
        <v>956</v>
      </c>
      <c r="B121" s="26" t="s">
        <v>1278</v>
      </c>
      <c r="C121" s="26" t="s">
        <v>951</v>
      </c>
      <c r="D121" s="27">
        <v>0.5</v>
      </c>
      <c r="E121" s="27">
        <v>1</v>
      </c>
    </row>
    <row r="122" spans="1:5" s="28" customFormat="1" x14ac:dyDescent="0.25">
      <c r="A122" s="25" t="s">
        <v>939</v>
      </c>
      <c r="B122" s="26" t="s">
        <v>1321</v>
      </c>
      <c r="C122" s="26" t="s">
        <v>940</v>
      </c>
      <c r="D122" s="27">
        <v>1</v>
      </c>
      <c r="E122" s="27">
        <v>3</v>
      </c>
    </row>
    <row r="123" spans="1:5" s="28" customFormat="1" x14ac:dyDescent="0.25">
      <c r="A123" s="25" t="s">
        <v>308</v>
      </c>
      <c r="B123" s="26" t="s">
        <v>307</v>
      </c>
      <c r="C123" s="26" t="s">
        <v>1017</v>
      </c>
      <c r="D123" s="27">
        <v>1.5</v>
      </c>
      <c r="E123" s="27">
        <v>3.5</v>
      </c>
    </row>
    <row r="124" spans="1:5" s="29" customFormat="1" x14ac:dyDescent="0.25">
      <c r="A124" s="25" t="s">
        <v>315</v>
      </c>
      <c r="B124" s="26" t="s">
        <v>1322</v>
      </c>
      <c r="C124" s="26" t="s">
        <v>1027</v>
      </c>
      <c r="D124" s="27">
        <v>1.1000000000000001</v>
      </c>
      <c r="E124" s="27">
        <v>3</v>
      </c>
    </row>
    <row r="125" spans="1:5" s="28" customFormat="1" x14ac:dyDescent="0.25">
      <c r="A125" s="25" t="s">
        <v>274</v>
      </c>
      <c r="B125" s="26" t="s">
        <v>273</v>
      </c>
      <c r="C125" s="26" t="s">
        <v>944</v>
      </c>
      <c r="D125" s="27">
        <v>0.75</v>
      </c>
      <c r="E125" s="27">
        <v>2</v>
      </c>
    </row>
    <row r="126" spans="1:5" x14ac:dyDescent="0.25">
      <c r="A126" s="25" t="s">
        <v>1045</v>
      </c>
      <c r="B126" s="26" t="s">
        <v>1263</v>
      </c>
      <c r="C126" s="26" t="s">
        <v>1037</v>
      </c>
      <c r="D126" s="27">
        <v>0.5</v>
      </c>
      <c r="E126" s="27">
        <v>3</v>
      </c>
    </row>
    <row r="127" spans="1:5" s="28" customFormat="1" x14ac:dyDescent="0.25">
      <c r="A127" s="25" t="s">
        <v>527</v>
      </c>
      <c r="B127" s="26" t="s">
        <v>1291</v>
      </c>
      <c r="C127" s="26" t="s">
        <v>868</v>
      </c>
      <c r="D127" s="27">
        <v>2</v>
      </c>
      <c r="E127" s="27">
        <v>4</v>
      </c>
    </row>
    <row r="128" spans="1:5" s="28" customFormat="1" x14ac:dyDescent="0.25">
      <c r="A128" s="25" t="s">
        <v>527</v>
      </c>
      <c r="B128" s="26" t="s">
        <v>1291</v>
      </c>
      <c r="C128" s="26" t="s">
        <v>868</v>
      </c>
      <c r="D128" s="27">
        <v>2</v>
      </c>
      <c r="E128" s="27">
        <v>4</v>
      </c>
    </row>
    <row r="129" spans="1:5" s="28" customFormat="1" x14ac:dyDescent="0.25">
      <c r="A129" s="25" t="s">
        <v>333</v>
      </c>
      <c r="B129" s="26" t="s">
        <v>1323</v>
      </c>
      <c r="C129" s="26" t="s">
        <v>1015</v>
      </c>
      <c r="D129" s="27">
        <v>1.5</v>
      </c>
      <c r="E129" s="27">
        <v>3.5</v>
      </c>
    </row>
    <row r="130" spans="1:5" s="28" customFormat="1" x14ac:dyDescent="0.25">
      <c r="A130" s="25" t="s">
        <v>487</v>
      </c>
      <c r="B130" s="26" t="s">
        <v>121</v>
      </c>
      <c r="C130" s="26" t="s">
        <v>1294</v>
      </c>
      <c r="D130" s="27">
        <v>5</v>
      </c>
      <c r="E130" s="27">
        <v>8</v>
      </c>
    </row>
    <row r="131" spans="1:5" s="28" customFormat="1" x14ac:dyDescent="0.25">
      <c r="A131" s="25" t="s">
        <v>623</v>
      </c>
      <c r="B131" s="26" t="s">
        <v>87</v>
      </c>
      <c r="C131" s="26" t="s">
        <v>1293</v>
      </c>
      <c r="D131" s="27">
        <v>2</v>
      </c>
      <c r="E131" s="27">
        <v>5</v>
      </c>
    </row>
    <row r="132" spans="1:5" s="28" customFormat="1" x14ac:dyDescent="0.25">
      <c r="A132" s="25" t="s">
        <v>623</v>
      </c>
      <c r="B132" s="26" t="s">
        <v>87</v>
      </c>
      <c r="C132" s="26" t="s">
        <v>1293</v>
      </c>
      <c r="D132" s="27">
        <v>2</v>
      </c>
      <c r="E132" s="27">
        <v>5</v>
      </c>
    </row>
    <row r="133" spans="1:5" s="28" customFormat="1" x14ac:dyDescent="0.25">
      <c r="A133" s="25" t="s">
        <v>248</v>
      </c>
      <c r="B133" s="26" t="s">
        <v>247</v>
      </c>
      <c r="C133" s="26" t="s">
        <v>1324</v>
      </c>
      <c r="D133" s="27">
        <v>3</v>
      </c>
      <c r="E133" s="27">
        <v>4.5</v>
      </c>
    </row>
    <row r="134" spans="1:5" s="29" customFormat="1" x14ac:dyDescent="0.25">
      <c r="A134" s="25" t="s">
        <v>1325</v>
      </c>
      <c r="B134" s="26" t="s">
        <v>1326</v>
      </c>
      <c r="C134" s="26" t="s">
        <v>1327</v>
      </c>
      <c r="D134" s="27">
        <v>2</v>
      </c>
      <c r="E134" s="27">
        <v>6</v>
      </c>
    </row>
    <row r="135" spans="1:5" s="28" customFormat="1" x14ac:dyDescent="0.25">
      <c r="A135" s="25" t="s">
        <v>1325</v>
      </c>
      <c r="B135" s="26" t="s">
        <v>1326</v>
      </c>
      <c r="C135" s="26" t="s">
        <v>1327</v>
      </c>
      <c r="D135" s="27">
        <v>2</v>
      </c>
      <c r="E135" s="27">
        <v>6</v>
      </c>
    </row>
    <row r="136" spans="1:5" x14ac:dyDescent="0.25">
      <c r="A136" s="25" t="s">
        <v>644</v>
      </c>
      <c r="B136" s="26" t="s">
        <v>1317</v>
      </c>
      <c r="C136" s="26" t="s">
        <v>1318</v>
      </c>
      <c r="D136" s="27">
        <v>1.25</v>
      </c>
      <c r="E136" s="27">
        <v>3.5</v>
      </c>
    </row>
    <row r="137" spans="1:5" x14ac:dyDescent="0.25">
      <c r="A137" s="25" t="s">
        <v>644</v>
      </c>
      <c r="B137" s="26" t="s">
        <v>1317</v>
      </c>
      <c r="C137" s="26" t="s">
        <v>1318</v>
      </c>
      <c r="D137" s="27">
        <v>1.25</v>
      </c>
      <c r="E137" s="27">
        <v>3.5</v>
      </c>
    </row>
    <row r="138" spans="1:5" x14ac:dyDescent="0.25">
      <c r="A138" s="25" t="s">
        <v>644</v>
      </c>
      <c r="B138" s="26" t="s">
        <v>1317</v>
      </c>
      <c r="C138" s="26" t="s">
        <v>1318</v>
      </c>
      <c r="D138" s="27">
        <v>1.25</v>
      </c>
      <c r="E138" s="27">
        <v>3.5</v>
      </c>
    </row>
    <row r="139" spans="1:5" x14ac:dyDescent="0.25">
      <c r="A139" s="25" t="s">
        <v>439</v>
      </c>
      <c r="B139" s="26" t="s">
        <v>1323</v>
      </c>
      <c r="C139" s="26" t="s">
        <v>1015</v>
      </c>
      <c r="D139" s="27">
        <v>1.5</v>
      </c>
      <c r="E139" s="27">
        <v>3.5</v>
      </c>
    </row>
    <row r="140" spans="1:5" x14ac:dyDescent="0.25">
      <c r="A140" s="25" t="s">
        <v>439</v>
      </c>
      <c r="B140" s="26" t="s">
        <v>1323</v>
      </c>
      <c r="C140" s="26" t="s">
        <v>1015</v>
      </c>
      <c r="D140" s="27">
        <v>1.5</v>
      </c>
      <c r="E140" s="27">
        <v>3.5</v>
      </c>
    </row>
    <row r="141" spans="1:5" x14ac:dyDescent="0.25">
      <c r="A141" s="25" t="s">
        <v>583</v>
      </c>
      <c r="B141" s="26" t="s">
        <v>51</v>
      </c>
      <c r="C141" s="26" t="s">
        <v>1324</v>
      </c>
      <c r="D141" s="27">
        <v>1.5</v>
      </c>
      <c r="E141" s="27">
        <v>6</v>
      </c>
    </row>
    <row r="142" spans="1:5" x14ac:dyDescent="0.25">
      <c r="A142" s="25" t="s">
        <v>819</v>
      </c>
      <c r="B142" s="26" t="s">
        <v>1317</v>
      </c>
      <c r="C142" s="26" t="s">
        <v>1318</v>
      </c>
      <c r="D142" s="27">
        <v>1.25</v>
      </c>
      <c r="E142" s="27">
        <v>3.5</v>
      </c>
    </row>
    <row r="143" spans="1:5" x14ac:dyDescent="0.25">
      <c r="A143" s="25" t="s">
        <v>1328</v>
      </c>
      <c r="B143" s="26" t="s">
        <v>65</v>
      </c>
      <c r="C143" s="26" t="s">
        <v>911</v>
      </c>
      <c r="D143" s="27">
        <v>2.5</v>
      </c>
      <c r="E143" s="27">
        <v>4</v>
      </c>
    </row>
    <row r="144" spans="1:5" s="28" customFormat="1" x14ac:dyDescent="0.25">
      <c r="A144" s="25" t="s">
        <v>422</v>
      </c>
      <c r="B144" s="26" t="s">
        <v>1329</v>
      </c>
      <c r="C144" s="26" t="s">
        <v>1027</v>
      </c>
      <c r="D144" s="27">
        <v>1.2</v>
      </c>
      <c r="E144" s="27">
        <v>3</v>
      </c>
    </row>
    <row r="145" spans="1:5" s="28" customFormat="1" x14ac:dyDescent="0.25">
      <c r="A145" s="25" t="s">
        <v>1330</v>
      </c>
      <c r="B145" s="26" t="s">
        <v>1331</v>
      </c>
      <c r="C145" s="26" t="s">
        <v>1332</v>
      </c>
      <c r="D145" s="27">
        <v>5</v>
      </c>
      <c r="E145" s="27">
        <v>10</v>
      </c>
    </row>
    <row r="146" spans="1:5" s="28" customFormat="1" x14ac:dyDescent="0.25">
      <c r="A146" s="25" t="s">
        <v>1330</v>
      </c>
      <c r="B146" s="26" t="s">
        <v>1331</v>
      </c>
      <c r="C146" s="26" t="s">
        <v>1332</v>
      </c>
      <c r="D146" s="27">
        <v>5</v>
      </c>
      <c r="E146" s="27">
        <v>10</v>
      </c>
    </row>
    <row r="147" spans="1:5" x14ac:dyDescent="0.25">
      <c r="A147" s="25" t="s">
        <v>1330</v>
      </c>
      <c r="B147" s="26" t="s">
        <v>1331</v>
      </c>
      <c r="C147" s="26" t="s">
        <v>1332</v>
      </c>
      <c r="D147" s="27">
        <v>5</v>
      </c>
      <c r="E147" s="27">
        <v>10</v>
      </c>
    </row>
    <row r="148" spans="1:5" x14ac:dyDescent="0.25">
      <c r="A148" s="25" t="s">
        <v>721</v>
      </c>
      <c r="B148" s="26" t="s">
        <v>1036</v>
      </c>
      <c r="C148" s="26" t="s">
        <v>1034</v>
      </c>
      <c r="D148" s="27">
        <v>2</v>
      </c>
      <c r="E148" s="27">
        <v>6</v>
      </c>
    </row>
    <row r="149" spans="1:5" s="28" customFormat="1" x14ac:dyDescent="0.25">
      <c r="A149" s="25" t="s">
        <v>136</v>
      </c>
      <c r="B149" s="26" t="s">
        <v>135</v>
      </c>
      <c r="C149" s="26" t="s">
        <v>1333</v>
      </c>
      <c r="D149" s="27">
        <v>1.5</v>
      </c>
      <c r="E149" s="27">
        <v>4</v>
      </c>
    </row>
    <row r="150" spans="1:5" s="29" customFormat="1" x14ac:dyDescent="0.25">
      <c r="A150" s="25" t="s">
        <v>136</v>
      </c>
      <c r="B150" s="26" t="s">
        <v>135</v>
      </c>
      <c r="C150" s="26" t="s">
        <v>1333</v>
      </c>
      <c r="D150" s="27">
        <v>1.5</v>
      </c>
      <c r="E150" s="27">
        <v>4</v>
      </c>
    </row>
    <row r="151" spans="1:5" s="29" customFormat="1" x14ac:dyDescent="0.25">
      <c r="A151" s="25" t="s">
        <v>136</v>
      </c>
      <c r="B151" s="26" t="s">
        <v>135</v>
      </c>
      <c r="C151" s="26" t="s">
        <v>1333</v>
      </c>
      <c r="D151" s="27">
        <v>1.5</v>
      </c>
      <c r="E151" s="27">
        <v>4</v>
      </c>
    </row>
    <row r="152" spans="1:5" s="29" customFormat="1" x14ac:dyDescent="0.25">
      <c r="A152" s="25" t="s">
        <v>56</v>
      </c>
      <c r="B152" s="26" t="s">
        <v>55</v>
      </c>
      <c r="C152" s="26" t="s">
        <v>1324</v>
      </c>
      <c r="D152" s="27">
        <v>2.5</v>
      </c>
      <c r="E152" s="27">
        <v>5</v>
      </c>
    </row>
    <row r="153" spans="1:5" x14ac:dyDescent="0.25">
      <c r="A153" s="25" t="s">
        <v>56</v>
      </c>
      <c r="B153" s="26" t="s">
        <v>55</v>
      </c>
      <c r="C153" s="26" t="s">
        <v>1324</v>
      </c>
      <c r="D153" s="27">
        <v>2.5</v>
      </c>
      <c r="E153" s="27">
        <v>5</v>
      </c>
    </row>
    <row r="154" spans="1:5" s="29" customFormat="1" x14ac:dyDescent="0.25">
      <c r="A154" s="25" t="s">
        <v>465</v>
      </c>
      <c r="B154" s="26" t="s">
        <v>51</v>
      </c>
      <c r="C154" s="26" t="s">
        <v>1324</v>
      </c>
      <c r="D154" s="27">
        <v>1.5</v>
      </c>
      <c r="E154" s="27">
        <v>6</v>
      </c>
    </row>
    <row r="155" spans="1:5" s="28" customFormat="1" x14ac:dyDescent="0.25">
      <c r="A155" s="25" t="s">
        <v>465</v>
      </c>
      <c r="B155" s="26" t="s">
        <v>51</v>
      </c>
      <c r="C155" s="26" t="s">
        <v>1324</v>
      </c>
      <c r="D155" s="27">
        <v>1.5</v>
      </c>
      <c r="E155" s="27">
        <v>6</v>
      </c>
    </row>
    <row r="156" spans="1:5" s="28" customFormat="1" x14ac:dyDescent="0.25">
      <c r="A156" s="25" t="s">
        <v>52</v>
      </c>
      <c r="B156" s="26" t="s">
        <v>51</v>
      </c>
      <c r="C156" s="26" t="s">
        <v>1324</v>
      </c>
      <c r="D156" s="27">
        <v>1.5</v>
      </c>
      <c r="E156" s="27">
        <v>6</v>
      </c>
    </row>
    <row r="157" spans="1:5" s="29" customFormat="1" x14ac:dyDescent="0.25">
      <c r="A157" s="25" t="s">
        <v>596</v>
      </c>
      <c r="B157" s="26" t="s">
        <v>186</v>
      </c>
      <c r="C157" s="26" t="s">
        <v>1034</v>
      </c>
      <c r="D157" s="27">
        <v>2</v>
      </c>
      <c r="E157" s="27">
        <v>6</v>
      </c>
    </row>
    <row r="158" spans="1:5" s="28" customFormat="1" x14ac:dyDescent="0.25">
      <c r="A158" s="25" t="s">
        <v>596</v>
      </c>
      <c r="B158" s="26" t="s">
        <v>186</v>
      </c>
      <c r="C158" s="26" t="s">
        <v>1034</v>
      </c>
      <c r="D158" s="27">
        <v>2</v>
      </c>
      <c r="E158" s="27">
        <v>6</v>
      </c>
    </row>
    <row r="159" spans="1:5" s="28" customFormat="1" x14ac:dyDescent="0.25">
      <c r="A159" s="25" t="s">
        <v>683</v>
      </c>
      <c r="B159" s="26" t="s">
        <v>132</v>
      </c>
      <c r="C159" s="26" t="s">
        <v>974</v>
      </c>
      <c r="D159" s="27">
        <v>2</v>
      </c>
      <c r="E159" s="27">
        <v>6</v>
      </c>
    </row>
    <row r="160" spans="1:5" x14ac:dyDescent="0.25">
      <c r="A160" s="25" t="s">
        <v>206</v>
      </c>
      <c r="B160" s="26" t="s">
        <v>205</v>
      </c>
      <c r="C160" s="26" t="s">
        <v>1295</v>
      </c>
      <c r="D160" s="27">
        <v>3</v>
      </c>
      <c r="E160" s="27">
        <v>7.5</v>
      </c>
    </row>
    <row r="161" spans="1:5" x14ac:dyDescent="0.25">
      <c r="A161" s="25" t="s">
        <v>206</v>
      </c>
      <c r="B161" s="26" t="s">
        <v>205</v>
      </c>
      <c r="C161" s="26" t="s">
        <v>1295</v>
      </c>
      <c r="D161" s="27">
        <v>3</v>
      </c>
      <c r="E161" s="27">
        <v>7.5</v>
      </c>
    </row>
    <row r="162" spans="1:5" s="29" customFormat="1" x14ac:dyDescent="0.25">
      <c r="A162" s="25" t="s">
        <v>694</v>
      </c>
      <c r="B162" s="26" t="s">
        <v>186</v>
      </c>
      <c r="C162" s="26" t="s">
        <v>1034</v>
      </c>
      <c r="D162" s="27">
        <v>2</v>
      </c>
      <c r="E162" s="27">
        <v>6</v>
      </c>
    </row>
    <row r="163" spans="1:5" s="29" customFormat="1" x14ac:dyDescent="0.25">
      <c r="A163" s="25" t="s">
        <v>118</v>
      </c>
      <c r="B163" s="26" t="s">
        <v>1334</v>
      </c>
      <c r="C163" s="26" t="s">
        <v>1335</v>
      </c>
      <c r="D163" s="27">
        <v>2</v>
      </c>
      <c r="E163" s="27">
        <v>6</v>
      </c>
    </row>
    <row r="164" spans="1:5" x14ac:dyDescent="0.25">
      <c r="A164" s="25" t="s">
        <v>670</v>
      </c>
      <c r="B164" s="26" t="s">
        <v>1336</v>
      </c>
      <c r="C164" s="26" t="s">
        <v>1027</v>
      </c>
      <c r="D164" s="27">
        <v>0.25</v>
      </c>
      <c r="E164" s="27">
        <v>1.25</v>
      </c>
    </row>
    <row r="165" spans="1:5" x14ac:dyDescent="0.25">
      <c r="A165" s="25" t="s">
        <v>60</v>
      </c>
      <c r="B165" s="26" t="s">
        <v>1337</v>
      </c>
      <c r="C165" s="26" t="s">
        <v>1338</v>
      </c>
      <c r="D165" s="27">
        <v>2.5</v>
      </c>
      <c r="E165" s="27">
        <v>6</v>
      </c>
    </row>
    <row r="166" spans="1:5" x14ac:dyDescent="0.25">
      <c r="A166" s="25" t="s">
        <v>1339</v>
      </c>
      <c r="B166" s="26" t="s">
        <v>1340</v>
      </c>
      <c r="C166" s="26" t="s">
        <v>1318</v>
      </c>
      <c r="D166" s="27">
        <v>3</v>
      </c>
      <c r="E166" s="27">
        <v>5</v>
      </c>
    </row>
    <row r="167" spans="1:5" x14ac:dyDescent="0.25">
      <c r="A167" s="25" t="s">
        <v>326</v>
      </c>
      <c r="B167" s="26" t="s">
        <v>1341</v>
      </c>
      <c r="C167" s="26" t="s">
        <v>994</v>
      </c>
      <c r="D167" s="27">
        <v>2</v>
      </c>
      <c r="E167" s="27">
        <v>5</v>
      </c>
    </row>
    <row r="168" spans="1:5" x14ac:dyDescent="0.25">
      <c r="A168" s="25" t="s">
        <v>229</v>
      </c>
      <c r="B168" s="26" t="s">
        <v>228</v>
      </c>
      <c r="C168" s="26" t="s">
        <v>1060</v>
      </c>
      <c r="D168" s="27">
        <v>2</v>
      </c>
      <c r="E168" s="27">
        <v>7</v>
      </c>
    </row>
    <row r="169" spans="1:5" x14ac:dyDescent="0.25">
      <c r="A169" s="25" t="s">
        <v>376</v>
      </c>
      <c r="B169" s="26" t="s">
        <v>1342</v>
      </c>
      <c r="C169" s="26" t="s">
        <v>1343</v>
      </c>
      <c r="D169" s="27">
        <v>4</v>
      </c>
      <c r="E169" s="27">
        <v>8</v>
      </c>
    </row>
    <row r="170" spans="1:5" x14ac:dyDescent="0.25">
      <c r="A170" s="25" t="s">
        <v>452</v>
      </c>
      <c r="B170" s="26" t="s">
        <v>132</v>
      </c>
      <c r="C170" s="26" t="s">
        <v>974</v>
      </c>
      <c r="D170" s="27">
        <v>2</v>
      </c>
      <c r="E170" s="27">
        <v>6</v>
      </c>
    </row>
    <row r="171" spans="1:5" x14ac:dyDescent="0.25">
      <c r="A171" s="25" t="s">
        <v>452</v>
      </c>
      <c r="B171" s="26" t="s">
        <v>132</v>
      </c>
      <c r="C171" s="26" t="s">
        <v>974</v>
      </c>
      <c r="D171" s="27">
        <v>2</v>
      </c>
      <c r="E171" s="27">
        <v>6</v>
      </c>
    </row>
    <row r="172" spans="1:5" x14ac:dyDescent="0.25">
      <c r="A172" s="25" t="s">
        <v>340</v>
      </c>
      <c r="B172" s="26" t="s">
        <v>1329</v>
      </c>
      <c r="C172" s="26" t="s">
        <v>1027</v>
      </c>
      <c r="D172" s="27">
        <v>1.2</v>
      </c>
      <c r="E172" s="27">
        <v>3</v>
      </c>
    </row>
    <row r="173" spans="1:5" s="29" customFormat="1" x14ac:dyDescent="0.25">
      <c r="A173" s="25" t="s">
        <v>543</v>
      </c>
      <c r="B173" s="26" t="s">
        <v>1280</v>
      </c>
      <c r="C173" s="26" t="s">
        <v>1037</v>
      </c>
      <c r="D173" s="27">
        <v>2</v>
      </c>
      <c r="E173" s="27">
        <v>4</v>
      </c>
    </row>
    <row r="174" spans="1:5" x14ac:dyDescent="0.25">
      <c r="A174" s="25" t="s">
        <v>543</v>
      </c>
      <c r="B174" s="26" t="s">
        <v>1280</v>
      </c>
      <c r="C174" s="26" t="s">
        <v>1037</v>
      </c>
      <c r="D174" s="27">
        <v>2</v>
      </c>
      <c r="E174" s="27">
        <v>4</v>
      </c>
    </row>
    <row r="175" spans="1:5" x14ac:dyDescent="0.25">
      <c r="A175" s="25" t="s">
        <v>414</v>
      </c>
      <c r="B175" s="26" t="s">
        <v>1298</v>
      </c>
      <c r="C175" s="26" t="s">
        <v>1299</v>
      </c>
      <c r="D175" s="27">
        <v>2.5</v>
      </c>
      <c r="E175" s="27">
        <v>4</v>
      </c>
    </row>
    <row r="176" spans="1:5" x14ac:dyDescent="0.25">
      <c r="A176" s="25" t="s">
        <v>468</v>
      </c>
      <c r="B176" s="26" t="s">
        <v>1300</v>
      </c>
      <c r="C176" s="26" t="s">
        <v>1299</v>
      </c>
      <c r="D176" s="27">
        <v>1.5</v>
      </c>
      <c r="E176" s="27">
        <v>6</v>
      </c>
    </row>
    <row r="177" spans="1:5" x14ac:dyDescent="0.25">
      <c r="A177" s="25" t="s">
        <v>264</v>
      </c>
      <c r="B177" s="26" t="s">
        <v>1344</v>
      </c>
      <c r="C177" s="26" t="s">
        <v>927</v>
      </c>
      <c r="D177" s="27">
        <v>1.5</v>
      </c>
      <c r="E177" s="27">
        <v>2.2000000000000002</v>
      </c>
    </row>
    <row r="178" spans="1:5" s="29" customFormat="1" x14ac:dyDescent="0.25">
      <c r="A178" s="25" t="s">
        <v>264</v>
      </c>
      <c r="B178" s="26" t="s">
        <v>1344</v>
      </c>
      <c r="C178" s="26" t="s">
        <v>927</v>
      </c>
      <c r="D178" s="27">
        <v>1.5</v>
      </c>
      <c r="E178" s="27">
        <v>2.2000000000000002</v>
      </c>
    </row>
    <row r="179" spans="1:5" s="29" customFormat="1" x14ac:dyDescent="0.25">
      <c r="A179" s="25" t="s">
        <v>124</v>
      </c>
      <c r="B179" s="26" t="s">
        <v>1345</v>
      </c>
      <c r="C179" s="26" t="s">
        <v>1346</v>
      </c>
      <c r="D179" s="27">
        <v>3.5</v>
      </c>
      <c r="E179" s="27">
        <v>6.5</v>
      </c>
    </row>
    <row r="180" spans="1:5" s="29" customFormat="1" x14ac:dyDescent="0.25">
      <c r="A180" s="25" t="s">
        <v>298</v>
      </c>
      <c r="B180" s="26" t="s">
        <v>1347</v>
      </c>
      <c r="C180" s="26" t="s">
        <v>1056</v>
      </c>
      <c r="D180" s="27">
        <v>1</v>
      </c>
      <c r="E180" s="27">
        <v>4</v>
      </c>
    </row>
    <row r="181" spans="1:5" x14ac:dyDescent="0.25">
      <c r="A181" s="25" t="s">
        <v>298</v>
      </c>
      <c r="B181" s="26" t="s">
        <v>1347</v>
      </c>
      <c r="C181" s="26" t="s">
        <v>1056</v>
      </c>
      <c r="D181" s="27">
        <v>1</v>
      </c>
      <c r="E181" s="27">
        <v>4</v>
      </c>
    </row>
    <row r="182" spans="1:5" x14ac:dyDescent="0.25">
      <c r="A182" s="25" t="s">
        <v>298</v>
      </c>
      <c r="B182" s="26" t="s">
        <v>1347</v>
      </c>
      <c r="C182" s="26" t="s">
        <v>1056</v>
      </c>
      <c r="D182" s="27">
        <v>1</v>
      </c>
      <c r="E182" s="27">
        <v>4</v>
      </c>
    </row>
    <row r="183" spans="1:5" s="28" customFormat="1" x14ac:dyDescent="0.25">
      <c r="A183" s="25" t="s">
        <v>603</v>
      </c>
      <c r="B183" s="26" t="s">
        <v>1347</v>
      </c>
      <c r="C183" s="26" t="s">
        <v>1056</v>
      </c>
      <c r="D183" s="27">
        <v>1</v>
      </c>
      <c r="E183" s="27">
        <v>4</v>
      </c>
    </row>
    <row r="184" spans="1:5" s="29" customFormat="1" x14ac:dyDescent="0.25">
      <c r="A184" s="25" t="s">
        <v>32</v>
      </c>
      <c r="B184" s="26" t="s">
        <v>31</v>
      </c>
      <c r="C184" s="26" t="s">
        <v>1348</v>
      </c>
      <c r="D184" s="27">
        <v>2.5</v>
      </c>
      <c r="E184" s="27">
        <v>5</v>
      </c>
    </row>
    <row r="185" spans="1:5" x14ac:dyDescent="0.25">
      <c r="A185" s="25" t="s">
        <v>157</v>
      </c>
      <c r="B185" s="26" t="s">
        <v>156</v>
      </c>
      <c r="C185" s="26" t="s">
        <v>1349</v>
      </c>
      <c r="D185" s="27">
        <v>2</v>
      </c>
      <c r="E185" s="27">
        <v>4</v>
      </c>
    </row>
    <row r="186" spans="1:5" x14ac:dyDescent="0.25">
      <c r="A186" s="25" t="s">
        <v>1350</v>
      </c>
      <c r="B186" s="26" t="s">
        <v>1351</v>
      </c>
      <c r="C186" s="26" t="s">
        <v>1034</v>
      </c>
      <c r="D186" s="27">
        <v>1.5</v>
      </c>
      <c r="E186" s="27">
        <v>5</v>
      </c>
    </row>
    <row r="187" spans="1:5" x14ac:dyDescent="0.25">
      <c r="A187" s="25" t="s">
        <v>716</v>
      </c>
      <c r="B187" s="26" t="s">
        <v>1281</v>
      </c>
      <c r="C187" s="26" t="s">
        <v>976</v>
      </c>
      <c r="D187" s="27">
        <v>1</v>
      </c>
      <c r="E187" s="27">
        <v>3</v>
      </c>
    </row>
    <row r="188" spans="1:5" x14ac:dyDescent="0.25">
      <c r="A188" s="25" t="s">
        <v>165</v>
      </c>
      <c r="B188" s="26" t="s">
        <v>164</v>
      </c>
      <c r="C188" s="26" t="s">
        <v>1024</v>
      </c>
      <c r="D188" s="27">
        <v>2.25</v>
      </c>
      <c r="E188" s="27">
        <v>4.5</v>
      </c>
    </row>
    <row r="189" spans="1:5" x14ac:dyDescent="0.25">
      <c r="A189" s="25" t="s">
        <v>192</v>
      </c>
      <c r="B189" s="26" t="s">
        <v>191</v>
      </c>
      <c r="C189" s="26" t="s">
        <v>1037</v>
      </c>
      <c r="D189" s="27">
        <v>2.5</v>
      </c>
      <c r="E189" s="27">
        <v>4</v>
      </c>
    </row>
    <row r="190" spans="1:5" x14ac:dyDescent="0.25">
      <c r="A190" s="25" t="s">
        <v>78</v>
      </c>
      <c r="B190" s="26" t="s">
        <v>1352</v>
      </c>
      <c r="C190" s="26" t="s">
        <v>1303</v>
      </c>
      <c r="D190" s="27">
        <v>2.5</v>
      </c>
      <c r="E190" s="27">
        <v>5.5</v>
      </c>
    </row>
    <row r="191" spans="1:5" x14ac:dyDescent="0.25">
      <c r="A191" s="25" t="s">
        <v>78</v>
      </c>
      <c r="B191" s="26" t="s">
        <v>1352</v>
      </c>
      <c r="C191" s="26" t="s">
        <v>1303</v>
      </c>
      <c r="D191" s="27">
        <v>2.5</v>
      </c>
      <c r="E191" s="27">
        <v>5.5</v>
      </c>
    </row>
    <row r="192" spans="1:5" x14ac:dyDescent="0.25">
      <c r="A192" s="25" t="s">
        <v>78</v>
      </c>
      <c r="B192" s="26" t="s">
        <v>1352</v>
      </c>
      <c r="C192" s="26" t="s">
        <v>1303</v>
      </c>
      <c r="D192" s="27">
        <v>2.5</v>
      </c>
      <c r="E192" s="27">
        <v>5.5</v>
      </c>
    </row>
    <row r="193" spans="1:5" x14ac:dyDescent="0.25">
      <c r="A193" s="25" t="s">
        <v>286</v>
      </c>
      <c r="B193" s="26" t="s">
        <v>1353</v>
      </c>
      <c r="C193" s="26" t="s">
        <v>976</v>
      </c>
      <c r="D193" s="27">
        <v>0.4</v>
      </c>
      <c r="E193" s="27">
        <v>1.3</v>
      </c>
    </row>
    <row r="194" spans="1:5" x14ac:dyDescent="0.25">
      <c r="A194" s="25" t="s">
        <v>511</v>
      </c>
      <c r="B194" s="26" t="s">
        <v>1344</v>
      </c>
      <c r="C194" s="26" t="s">
        <v>927</v>
      </c>
      <c r="D194" s="27">
        <v>1.5</v>
      </c>
      <c r="E194" s="27">
        <v>2.2000000000000002</v>
      </c>
    </row>
    <row r="195" spans="1:5" x14ac:dyDescent="0.25">
      <c r="A195" s="25" t="s">
        <v>511</v>
      </c>
      <c r="B195" s="26" t="s">
        <v>1344</v>
      </c>
      <c r="C195" s="26" t="s">
        <v>927</v>
      </c>
      <c r="D195" s="27">
        <v>1.5</v>
      </c>
      <c r="E195" s="27">
        <v>2.2000000000000002</v>
      </c>
    </row>
    <row r="196" spans="1:5" x14ac:dyDescent="0.25">
      <c r="A196" s="25" t="s">
        <v>511</v>
      </c>
      <c r="B196" s="26" t="s">
        <v>1344</v>
      </c>
      <c r="C196" s="26" t="s">
        <v>927</v>
      </c>
      <c r="D196" s="27">
        <v>1.5</v>
      </c>
      <c r="E196" s="27">
        <v>2.2000000000000002</v>
      </c>
    </row>
    <row r="197" spans="1:5" x14ac:dyDescent="0.25">
      <c r="A197" s="25" t="s">
        <v>200</v>
      </c>
      <c r="B197" s="26" t="s">
        <v>199</v>
      </c>
      <c r="C197" s="30" t="s">
        <v>1354</v>
      </c>
      <c r="D197" s="27">
        <v>3.5</v>
      </c>
      <c r="E197" s="27">
        <v>8</v>
      </c>
    </row>
    <row r="198" spans="1:5" x14ac:dyDescent="0.25">
      <c r="A198" s="25" t="s">
        <v>200</v>
      </c>
      <c r="B198" s="26" t="s">
        <v>199</v>
      </c>
      <c r="C198" s="26" t="s">
        <v>1354</v>
      </c>
      <c r="D198" s="27">
        <v>3.5</v>
      </c>
      <c r="E198" s="27">
        <v>8</v>
      </c>
    </row>
    <row r="199" spans="1:5" x14ac:dyDescent="0.25">
      <c r="A199" s="25" t="s">
        <v>200</v>
      </c>
      <c r="B199" s="26" t="s">
        <v>199</v>
      </c>
      <c r="C199" s="26" t="s">
        <v>1354</v>
      </c>
      <c r="D199" s="27">
        <v>3.5</v>
      </c>
      <c r="E199" s="27">
        <v>8</v>
      </c>
    </row>
    <row r="200" spans="1:5" x14ac:dyDescent="0.25">
      <c r="A200" s="25" t="s">
        <v>411</v>
      </c>
      <c r="B200" s="26" t="s">
        <v>1278</v>
      </c>
      <c r="C200" s="26" t="s">
        <v>951</v>
      </c>
      <c r="D200" s="27">
        <v>0.5</v>
      </c>
      <c r="E200" s="27">
        <v>1</v>
      </c>
    </row>
    <row r="201" spans="1:5" x14ac:dyDescent="0.25">
      <c r="A201" s="25" t="s">
        <v>36</v>
      </c>
      <c r="B201" s="26" t="s">
        <v>35</v>
      </c>
      <c r="C201" s="26" t="s">
        <v>1355</v>
      </c>
      <c r="D201" s="27">
        <v>2</v>
      </c>
      <c r="E201" s="27">
        <v>5</v>
      </c>
    </row>
    <row r="202" spans="1:5" x14ac:dyDescent="0.25">
      <c r="A202" s="25" t="s">
        <v>36</v>
      </c>
      <c r="B202" s="26" t="s">
        <v>35</v>
      </c>
      <c r="C202" s="26" t="s">
        <v>1355</v>
      </c>
      <c r="D202" s="27">
        <v>2</v>
      </c>
      <c r="E202" s="27">
        <v>5</v>
      </c>
    </row>
    <row r="203" spans="1:5" x14ac:dyDescent="0.25">
      <c r="A203" s="25" t="s">
        <v>617</v>
      </c>
      <c r="B203" s="26" t="s">
        <v>35</v>
      </c>
      <c r="C203" s="26" t="s">
        <v>1355</v>
      </c>
      <c r="D203" s="27">
        <v>2</v>
      </c>
      <c r="E203" s="27">
        <v>5</v>
      </c>
    </row>
    <row r="204" spans="1:5" x14ac:dyDescent="0.25">
      <c r="A204" s="25" t="s">
        <v>98</v>
      </c>
      <c r="B204" s="26" t="s">
        <v>1356</v>
      </c>
      <c r="C204" s="26" t="s">
        <v>958</v>
      </c>
      <c r="D204" s="27">
        <v>2</v>
      </c>
      <c r="E204" s="27">
        <v>4</v>
      </c>
    </row>
    <row r="205" spans="1:5" x14ac:dyDescent="0.25">
      <c r="A205" s="25" t="s">
        <v>490</v>
      </c>
      <c r="B205" s="26" t="s">
        <v>1356</v>
      </c>
      <c r="C205" s="26" t="s">
        <v>958</v>
      </c>
      <c r="D205" s="27">
        <v>2</v>
      </c>
      <c r="E205" s="27">
        <v>4</v>
      </c>
    </row>
    <row r="206" spans="1:5" x14ac:dyDescent="0.25">
      <c r="A206" s="25" t="s">
        <v>93</v>
      </c>
      <c r="B206" s="26" t="s">
        <v>1357</v>
      </c>
      <c r="C206" s="26" t="s">
        <v>958</v>
      </c>
      <c r="D206" s="27">
        <v>2</v>
      </c>
      <c r="E206" s="27">
        <v>4</v>
      </c>
    </row>
    <row r="207" spans="1:5" x14ac:dyDescent="0.25">
      <c r="A207" s="25" t="s">
        <v>106</v>
      </c>
      <c r="B207" s="26" t="s">
        <v>1358</v>
      </c>
      <c r="C207" s="26" t="s">
        <v>1359</v>
      </c>
      <c r="D207" s="27">
        <v>1.5</v>
      </c>
      <c r="E207" s="27">
        <v>2.5</v>
      </c>
    </row>
    <row r="208" spans="1:5" x14ac:dyDescent="0.25">
      <c r="A208" s="25" t="s">
        <v>109</v>
      </c>
      <c r="B208" s="26" t="s">
        <v>108</v>
      </c>
      <c r="C208" s="26" t="s">
        <v>960</v>
      </c>
      <c r="D208" s="27">
        <v>1.5</v>
      </c>
      <c r="E208" s="27">
        <v>4</v>
      </c>
    </row>
    <row r="209" spans="1:5" s="29" customFormat="1" x14ac:dyDescent="0.25">
      <c r="A209" s="25" t="s">
        <v>71</v>
      </c>
      <c r="B209" s="26" t="s">
        <v>1360</v>
      </c>
      <c r="C209" s="26" t="s">
        <v>1361</v>
      </c>
      <c r="D209" s="27">
        <v>5</v>
      </c>
      <c r="E209" s="27">
        <v>10</v>
      </c>
    </row>
    <row r="210" spans="1:5" x14ac:dyDescent="0.25">
      <c r="A210" s="25" t="s">
        <v>71</v>
      </c>
      <c r="B210" s="26" t="s">
        <v>1360</v>
      </c>
      <c r="C210" s="26" t="s">
        <v>1361</v>
      </c>
      <c r="D210" s="27">
        <v>5</v>
      </c>
      <c r="E210" s="27">
        <v>10</v>
      </c>
    </row>
    <row r="211" spans="1:5" x14ac:dyDescent="0.25">
      <c r="A211" s="25" t="s">
        <v>620</v>
      </c>
      <c r="B211" s="26" t="s">
        <v>1362</v>
      </c>
      <c r="C211" s="26" t="s">
        <v>1363</v>
      </c>
      <c r="D211" s="27">
        <v>1.75</v>
      </c>
      <c r="E211" s="27">
        <v>5</v>
      </c>
    </row>
    <row r="212" spans="1:5" x14ac:dyDescent="0.25">
      <c r="A212" s="25" t="s">
        <v>284</v>
      </c>
      <c r="B212" s="26" t="s">
        <v>1362</v>
      </c>
      <c r="C212" s="26" t="s">
        <v>1363</v>
      </c>
      <c r="D212" s="27">
        <v>1.75</v>
      </c>
      <c r="E212" s="27">
        <v>5</v>
      </c>
    </row>
    <row r="213" spans="1:5" x14ac:dyDescent="0.25">
      <c r="A213" s="25" t="s">
        <v>16</v>
      </c>
      <c r="B213" s="26" t="s">
        <v>15</v>
      </c>
      <c r="C213" s="26" t="s">
        <v>1364</v>
      </c>
      <c r="D213" s="27">
        <v>4</v>
      </c>
      <c r="E213" s="27">
        <v>6</v>
      </c>
    </row>
    <row r="214" spans="1:5" x14ac:dyDescent="0.25">
      <c r="A214" s="25" t="s">
        <v>1365</v>
      </c>
      <c r="B214" s="26" t="s">
        <v>1366</v>
      </c>
      <c r="C214" s="26" t="s">
        <v>1299</v>
      </c>
      <c r="D214" s="27">
        <v>1.5</v>
      </c>
      <c r="E214" s="27">
        <v>5</v>
      </c>
    </row>
    <row r="215" spans="1:5" x14ac:dyDescent="0.25">
      <c r="A215" s="25" t="s">
        <v>828</v>
      </c>
      <c r="B215" s="26" t="s">
        <v>1260</v>
      </c>
      <c r="C215" s="26" t="s">
        <v>1367</v>
      </c>
      <c r="D215" s="27">
        <v>1.2</v>
      </c>
      <c r="E215" s="27">
        <v>4</v>
      </c>
    </row>
  </sheetData>
  <sheetProtection selectLockedCells="1" sort="0" autoFilter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A889-2E1B-4324-9859-FDC5CB78039D}">
  <dimension ref="A1:L165"/>
  <sheetViews>
    <sheetView workbookViewId="0">
      <selection activeCell="M8" sqref="A4:M8"/>
    </sheetView>
  </sheetViews>
  <sheetFormatPr defaultRowHeight="15" x14ac:dyDescent="0.25"/>
  <cols>
    <col min="4" max="4" width="34.28515625" bestFit="1" customWidth="1"/>
    <col min="5" max="5" width="30.42578125" bestFit="1" customWidth="1"/>
  </cols>
  <sheetData>
    <row r="1" spans="1:12" x14ac:dyDescent="0.25">
      <c r="A1" s="7" t="s">
        <v>382</v>
      </c>
      <c r="B1" s="7" t="s">
        <v>383</v>
      </c>
      <c r="C1" s="7" t="s">
        <v>384</v>
      </c>
      <c r="D1" s="7" t="s">
        <v>385</v>
      </c>
      <c r="E1" s="7" t="s">
        <v>386</v>
      </c>
      <c r="F1" s="7" t="s">
        <v>387</v>
      </c>
      <c r="G1" s="7" t="s">
        <v>388</v>
      </c>
      <c r="H1" s="7" t="s">
        <v>389</v>
      </c>
      <c r="I1" s="7" t="s">
        <v>390</v>
      </c>
      <c r="J1" s="7" t="s">
        <v>391</v>
      </c>
      <c r="K1" s="7" t="s">
        <v>392</v>
      </c>
      <c r="L1" s="7" t="s">
        <v>393</v>
      </c>
    </row>
    <row r="2" spans="1:12" x14ac:dyDescent="0.25">
      <c r="A2" s="7">
        <v>6</v>
      </c>
      <c r="B2" s="7">
        <v>5356</v>
      </c>
      <c r="C2" s="7">
        <v>4</v>
      </c>
      <c r="D2" s="7" t="s">
        <v>394</v>
      </c>
      <c r="E2" s="7" t="s">
        <v>78</v>
      </c>
      <c r="F2" s="7" t="s">
        <v>395</v>
      </c>
      <c r="G2" s="7" t="s">
        <v>396</v>
      </c>
      <c r="H2" s="7">
        <v>1</v>
      </c>
      <c r="I2" s="8">
        <v>45853.50203358796</v>
      </c>
      <c r="J2" s="8">
        <v>45853.50203358796</v>
      </c>
      <c r="K2" s="7" t="s">
        <v>397</v>
      </c>
      <c r="L2" s="7" t="s">
        <v>397</v>
      </c>
    </row>
    <row r="3" spans="1:12" x14ac:dyDescent="0.25">
      <c r="A3" s="7">
        <v>8</v>
      </c>
      <c r="B3" s="7">
        <v>5626</v>
      </c>
      <c r="C3" s="7">
        <v>34</v>
      </c>
      <c r="D3" s="7" t="s">
        <v>398</v>
      </c>
      <c r="E3" s="7" t="s">
        <v>399</v>
      </c>
      <c r="F3" s="7" t="s">
        <v>400</v>
      </c>
      <c r="G3" s="7" t="s">
        <v>396</v>
      </c>
      <c r="H3" s="7">
        <v>1</v>
      </c>
      <c r="I3" s="8">
        <v>45853.50203358796</v>
      </c>
      <c r="J3" s="8">
        <v>45853.50203358796</v>
      </c>
      <c r="K3" s="7" t="s">
        <v>397</v>
      </c>
      <c r="L3" s="7" t="s">
        <v>397</v>
      </c>
    </row>
    <row r="4" spans="1:12" x14ac:dyDescent="0.25">
      <c r="A4" s="7">
        <v>9</v>
      </c>
      <c r="B4" s="7">
        <v>3188</v>
      </c>
      <c r="C4" s="7">
        <v>0</v>
      </c>
      <c r="D4" s="7" t="s">
        <v>401</v>
      </c>
      <c r="E4" s="7" t="s">
        <v>402</v>
      </c>
      <c r="F4" s="7" t="s">
        <v>403</v>
      </c>
      <c r="G4" s="7" t="s">
        <v>396</v>
      </c>
      <c r="H4" s="7">
        <v>1</v>
      </c>
      <c r="I4" s="8">
        <v>45853.50203358796</v>
      </c>
      <c r="J4" s="8">
        <v>45853.50203358796</v>
      </c>
      <c r="K4" s="7" t="s">
        <v>397</v>
      </c>
      <c r="L4" s="7" t="s">
        <v>397</v>
      </c>
    </row>
    <row r="5" spans="1:12" x14ac:dyDescent="0.25">
      <c r="A5" s="7">
        <v>10</v>
      </c>
      <c r="B5" s="7">
        <v>7014</v>
      </c>
      <c r="C5" s="7">
        <v>26</v>
      </c>
      <c r="D5" s="7" t="s">
        <v>404</v>
      </c>
      <c r="E5" s="7" t="s">
        <v>405</v>
      </c>
      <c r="F5" s="7" t="s">
        <v>406</v>
      </c>
      <c r="G5" s="7" t="s">
        <v>396</v>
      </c>
      <c r="H5" s="7">
        <v>1</v>
      </c>
      <c r="I5" s="8">
        <v>45853.50203358796</v>
      </c>
      <c r="J5" s="8">
        <v>45853.50203358796</v>
      </c>
      <c r="K5" s="7" t="s">
        <v>397</v>
      </c>
      <c r="L5" s="7" t="s">
        <v>397</v>
      </c>
    </row>
    <row r="6" spans="1:12" x14ac:dyDescent="0.25">
      <c r="A6" s="7">
        <v>12</v>
      </c>
      <c r="B6" s="7">
        <v>2011</v>
      </c>
      <c r="C6" s="7">
        <v>0</v>
      </c>
      <c r="D6" s="7" t="s">
        <v>407</v>
      </c>
      <c r="E6" s="7" t="s">
        <v>408</v>
      </c>
      <c r="F6" s="7" t="s">
        <v>409</v>
      </c>
      <c r="G6" s="7" t="s">
        <v>396</v>
      </c>
      <c r="H6" s="7">
        <v>1</v>
      </c>
      <c r="I6" s="8">
        <v>45853.50203358796</v>
      </c>
      <c r="J6" s="8">
        <v>45853.50203358796</v>
      </c>
      <c r="K6" s="7" t="s">
        <v>397</v>
      </c>
      <c r="L6" s="7" t="s">
        <v>397</v>
      </c>
    </row>
    <row r="7" spans="1:12" x14ac:dyDescent="0.25">
      <c r="A7" s="7">
        <v>15</v>
      </c>
      <c r="B7" s="7">
        <v>6762</v>
      </c>
      <c r="C7" s="7">
        <v>94</v>
      </c>
      <c r="D7" s="7" t="s">
        <v>410</v>
      </c>
      <c r="E7" s="7" t="s">
        <v>411</v>
      </c>
      <c r="F7" s="7" t="s">
        <v>412</v>
      </c>
      <c r="G7" s="7" t="s">
        <v>396</v>
      </c>
      <c r="H7" s="7">
        <v>1</v>
      </c>
      <c r="I7" s="8">
        <v>45853.50203358796</v>
      </c>
      <c r="J7" s="8">
        <v>45853.50203358796</v>
      </c>
      <c r="K7" s="7" t="s">
        <v>397</v>
      </c>
      <c r="L7" s="7" t="s">
        <v>397</v>
      </c>
    </row>
    <row r="8" spans="1:12" x14ac:dyDescent="0.25">
      <c r="A8" s="7">
        <v>17</v>
      </c>
      <c r="B8" s="7">
        <v>6882</v>
      </c>
      <c r="C8" s="7">
        <v>111</v>
      </c>
      <c r="D8" s="7" t="s">
        <v>413</v>
      </c>
      <c r="E8" s="7" t="s">
        <v>414</v>
      </c>
      <c r="F8" s="7" t="s">
        <v>415</v>
      </c>
      <c r="G8" s="7" t="s">
        <v>396</v>
      </c>
      <c r="H8" s="7">
        <v>1</v>
      </c>
      <c r="I8" s="8">
        <v>45853.50203358796</v>
      </c>
      <c r="J8" s="8">
        <v>45853.50203358796</v>
      </c>
      <c r="K8" s="7" t="s">
        <v>397</v>
      </c>
      <c r="L8" s="7" t="s">
        <v>397</v>
      </c>
    </row>
    <row r="9" spans="1:12" x14ac:dyDescent="0.25">
      <c r="A9" s="7">
        <v>18</v>
      </c>
      <c r="B9" s="7">
        <v>5938</v>
      </c>
      <c r="C9" s="7">
        <v>26</v>
      </c>
      <c r="D9" s="7" t="s">
        <v>416</v>
      </c>
      <c r="E9" s="7" t="s">
        <v>417</v>
      </c>
      <c r="F9" s="7" t="s">
        <v>418</v>
      </c>
      <c r="G9" s="7" t="s">
        <v>396</v>
      </c>
      <c r="H9" s="7">
        <v>1</v>
      </c>
      <c r="I9" s="8">
        <v>45853.50203358796</v>
      </c>
      <c r="J9" s="8">
        <v>45853.50203358796</v>
      </c>
      <c r="K9" s="7" t="s">
        <v>397</v>
      </c>
      <c r="L9" s="7" t="s">
        <v>397</v>
      </c>
    </row>
    <row r="10" spans="1:12" x14ac:dyDescent="0.25">
      <c r="A10" s="7">
        <v>19</v>
      </c>
      <c r="B10" s="7">
        <v>4992</v>
      </c>
      <c r="C10" s="7">
        <v>50</v>
      </c>
      <c r="D10" s="7" t="s">
        <v>419</v>
      </c>
      <c r="E10" s="7" t="s">
        <v>291</v>
      </c>
      <c r="F10" s="7" t="s">
        <v>420</v>
      </c>
      <c r="G10" s="7" t="s">
        <v>396</v>
      </c>
      <c r="H10" s="7">
        <v>1</v>
      </c>
      <c r="I10" s="8">
        <v>45853.50203358796</v>
      </c>
      <c r="J10" s="8">
        <v>45853.50203358796</v>
      </c>
      <c r="K10" s="7" t="s">
        <v>397</v>
      </c>
      <c r="L10" s="7" t="s">
        <v>397</v>
      </c>
    </row>
    <row r="11" spans="1:12" x14ac:dyDescent="0.25">
      <c r="A11" s="7">
        <v>20</v>
      </c>
      <c r="B11" s="7">
        <v>3571</v>
      </c>
      <c r="C11" s="7">
        <v>24</v>
      </c>
      <c r="D11" s="7" t="s">
        <v>421</v>
      </c>
      <c r="E11" s="7" t="s">
        <v>422</v>
      </c>
      <c r="F11" s="7" t="s">
        <v>423</v>
      </c>
      <c r="G11" s="7" t="s">
        <v>396</v>
      </c>
      <c r="H11" s="7">
        <v>1</v>
      </c>
      <c r="I11" s="8">
        <v>45853.50203358796</v>
      </c>
      <c r="J11" s="8">
        <v>45853.50203358796</v>
      </c>
      <c r="K11" s="7" t="s">
        <v>397</v>
      </c>
      <c r="L11" s="7" t="s">
        <v>397</v>
      </c>
    </row>
    <row r="12" spans="1:12" x14ac:dyDescent="0.25">
      <c r="A12" s="7">
        <v>21</v>
      </c>
      <c r="B12" s="7">
        <v>1625</v>
      </c>
      <c r="C12" s="7">
        <v>34</v>
      </c>
      <c r="D12" s="7" t="s">
        <v>424</v>
      </c>
      <c r="E12" s="7" t="s">
        <v>264</v>
      </c>
      <c r="F12" s="7" t="s">
        <v>425</v>
      </c>
      <c r="G12" s="7" t="s">
        <v>396</v>
      </c>
      <c r="H12" s="7">
        <v>1</v>
      </c>
      <c r="I12" s="8">
        <v>45853.50203358796</v>
      </c>
      <c r="J12" s="8">
        <v>45853.50203358796</v>
      </c>
      <c r="K12" s="7" t="s">
        <v>397</v>
      </c>
      <c r="L12" s="7" t="s">
        <v>397</v>
      </c>
    </row>
    <row r="13" spans="1:12" x14ac:dyDescent="0.25">
      <c r="A13" s="7">
        <v>23</v>
      </c>
      <c r="B13" s="7">
        <v>6196</v>
      </c>
      <c r="C13" s="7">
        <v>36</v>
      </c>
      <c r="D13" s="7" t="s">
        <v>426</v>
      </c>
      <c r="E13" s="7" t="s">
        <v>427</v>
      </c>
      <c r="F13" s="7" t="s">
        <v>428</v>
      </c>
      <c r="G13" s="7" t="s">
        <v>396</v>
      </c>
      <c r="H13" s="7">
        <v>1</v>
      </c>
      <c r="I13" s="8">
        <v>45853.50203358796</v>
      </c>
      <c r="J13" s="8">
        <v>45853.50203358796</v>
      </c>
      <c r="K13" s="7" t="s">
        <v>397</v>
      </c>
      <c r="L13" s="7" t="s">
        <v>397</v>
      </c>
    </row>
    <row r="14" spans="1:12" x14ac:dyDescent="0.25">
      <c r="A14" s="7">
        <v>25</v>
      </c>
      <c r="B14" s="7">
        <v>7551</v>
      </c>
      <c r="C14" s="7">
        <v>0</v>
      </c>
      <c r="D14" s="7" t="s">
        <v>429</v>
      </c>
      <c r="E14" s="7" t="s">
        <v>430</v>
      </c>
      <c r="F14" s="7" t="s">
        <v>431</v>
      </c>
      <c r="G14" s="7" t="s">
        <v>396</v>
      </c>
      <c r="H14" s="7">
        <v>1</v>
      </c>
      <c r="I14" s="8">
        <v>45853.50203358796</v>
      </c>
      <c r="J14" s="8">
        <v>45853.50203358796</v>
      </c>
      <c r="K14" s="7" t="s">
        <v>397</v>
      </c>
      <c r="L14" s="7" t="s">
        <v>397</v>
      </c>
    </row>
    <row r="15" spans="1:12" x14ac:dyDescent="0.25">
      <c r="A15" s="7">
        <v>26</v>
      </c>
      <c r="B15" s="7">
        <v>3133</v>
      </c>
      <c r="C15" s="7">
        <v>28</v>
      </c>
      <c r="D15" s="7" t="s">
        <v>432</v>
      </c>
      <c r="E15" s="7" t="s">
        <v>433</v>
      </c>
      <c r="F15" s="7" t="s">
        <v>434</v>
      </c>
      <c r="G15" s="7" t="s">
        <v>396</v>
      </c>
      <c r="H15" s="7">
        <v>1</v>
      </c>
      <c r="I15" s="8">
        <v>45853.50203358796</v>
      </c>
      <c r="J15" s="8">
        <v>45853.50203358796</v>
      </c>
      <c r="K15" s="7" t="s">
        <v>397</v>
      </c>
      <c r="L15" s="7" t="s">
        <v>397</v>
      </c>
    </row>
    <row r="16" spans="1:12" x14ac:dyDescent="0.25">
      <c r="A16" s="7">
        <v>28</v>
      </c>
      <c r="B16" s="7">
        <v>380</v>
      </c>
      <c r="C16" s="7">
        <v>0</v>
      </c>
      <c r="D16" s="7" t="s">
        <v>435</v>
      </c>
      <c r="E16" s="7" t="s">
        <v>436</v>
      </c>
      <c r="F16" s="7" t="s">
        <v>437</v>
      </c>
      <c r="G16" s="7" t="s">
        <v>396</v>
      </c>
      <c r="H16" s="7">
        <v>1</v>
      </c>
      <c r="I16" s="8">
        <v>45853.50203358796</v>
      </c>
      <c r="J16" s="8">
        <v>45853.50203358796</v>
      </c>
      <c r="K16" s="7" t="s">
        <v>397</v>
      </c>
      <c r="L16" s="7" t="s">
        <v>397</v>
      </c>
    </row>
    <row r="17" spans="1:12" x14ac:dyDescent="0.25">
      <c r="A17" s="7">
        <v>30</v>
      </c>
      <c r="B17" s="7">
        <v>2401</v>
      </c>
      <c r="C17" s="7">
        <v>0</v>
      </c>
      <c r="D17" s="7" t="s">
        <v>438</v>
      </c>
      <c r="E17" s="7" t="s">
        <v>439</v>
      </c>
      <c r="F17" s="7" t="s">
        <v>440</v>
      </c>
      <c r="G17" s="7" t="s">
        <v>396</v>
      </c>
      <c r="H17" s="7">
        <v>1</v>
      </c>
      <c r="I17" s="8">
        <v>45853.50203358796</v>
      </c>
      <c r="J17" s="8">
        <v>45853.50203358796</v>
      </c>
      <c r="K17" s="7" t="s">
        <v>397</v>
      </c>
      <c r="L17" s="7" t="s">
        <v>397</v>
      </c>
    </row>
    <row r="18" spans="1:12" x14ac:dyDescent="0.25">
      <c r="A18" s="7">
        <v>32</v>
      </c>
      <c r="B18" s="7">
        <v>3222</v>
      </c>
      <c r="C18" s="7">
        <v>29</v>
      </c>
      <c r="D18" s="7" t="s">
        <v>441</v>
      </c>
      <c r="E18" s="7" t="s">
        <v>442</v>
      </c>
      <c r="F18" s="7" t="s">
        <v>443</v>
      </c>
      <c r="G18" s="7" t="s">
        <v>396</v>
      </c>
      <c r="H18" s="7">
        <v>1</v>
      </c>
      <c r="I18" s="8">
        <v>45853.50203358796</v>
      </c>
      <c r="J18" s="8">
        <v>45853.50203358796</v>
      </c>
      <c r="K18" s="7" t="s">
        <v>397</v>
      </c>
      <c r="L18" s="7" t="s">
        <v>397</v>
      </c>
    </row>
    <row r="19" spans="1:12" x14ac:dyDescent="0.25">
      <c r="A19" s="7">
        <v>35</v>
      </c>
      <c r="B19" s="7">
        <v>5411</v>
      </c>
      <c r="C19" s="7">
        <v>26</v>
      </c>
      <c r="D19" s="7" t="s">
        <v>444</v>
      </c>
      <c r="E19" s="7" t="s">
        <v>445</v>
      </c>
      <c r="F19" s="7" t="s">
        <v>446</v>
      </c>
      <c r="G19" s="7" t="s">
        <v>396</v>
      </c>
      <c r="H19" s="7">
        <v>1</v>
      </c>
      <c r="I19" s="8">
        <v>45853.50203358796</v>
      </c>
      <c r="J19" s="8">
        <v>45853.50203358796</v>
      </c>
      <c r="K19" s="7" t="s">
        <v>397</v>
      </c>
      <c r="L19" s="7" t="s">
        <v>397</v>
      </c>
    </row>
    <row r="20" spans="1:12" x14ac:dyDescent="0.25">
      <c r="A20" s="7">
        <v>36</v>
      </c>
      <c r="B20" s="7">
        <v>7334</v>
      </c>
      <c r="C20" s="7">
        <v>33</v>
      </c>
      <c r="D20" s="7" t="s">
        <v>447</v>
      </c>
      <c r="E20" s="7" t="s">
        <v>229</v>
      </c>
      <c r="F20" s="7" t="s">
        <v>448</v>
      </c>
      <c r="G20" s="7" t="s">
        <v>396</v>
      </c>
      <c r="H20" s="7">
        <v>1</v>
      </c>
      <c r="I20" s="8">
        <v>45853.50203358796</v>
      </c>
      <c r="J20" s="8">
        <v>45853.50203358796</v>
      </c>
      <c r="K20" s="7" t="s">
        <v>397</v>
      </c>
      <c r="L20" s="7" t="s">
        <v>397</v>
      </c>
    </row>
    <row r="21" spans="1:12" x14ac:dyDescent="0.25">
      <c r="A21" s="7">
        <v>37</v>
      </c>
      <c r="B21" s="7">
        <v>2908</v>
      </c>
      <c r="C21" s="7">
        <v>0</v>
      </c>
      <c r="D21" s="7" t="s">
        <v>449</v>
      </c>
      <c r="E21" s="7" t="s">
        <v>165</v>
      </c>
      <c r="F21" s="7" t="s">
        <v>450</v>
      </c>
      <c r="G21" s="7" t="s">
        <v>396</v>
      </c>
      <c r="H21" s="7">
        <v>1</v>
      </c>
      <c r="I21" s="8">
        <v>45853.50203358796</v>
      </c>
      <c r="J21" s="8">
        <v>45853.50203358796</v>
      </c>
      <c r="K21" s="7" t="s">
        <v>397</v>
      </c>
      <c r="L21" s="7" t="s">
        <v>397</v>
      </c>
    </row>
    <row r="22" spans="1:12" x14ac:dyDescent="0.25">
      <c r="A22" s="7">
        <v>38</v>
      </c>
      <c r="B22" s="7">
        <v>7975</v>
      </c>
      <c r="C22" s="7">
        <v>107</v>
      </c>
      <c r="D22" s="7" t="s">
        <v>451</v>
      </c>
      <c r="E22" s="7" t="s">
        <v>452</v>
      </c>
      <c r="F22" s="7" t="s">
        <v>453</v>
      </c>
      <c r="G22" s="7" t="s">
        <v>396</v>
      </c>
      <c r="H22" s="7">
        <v>1</v>
      </c>
      <c r="I22" s="8">
        <v>45853.50203358796</v>
      </c>
      <c r="J22" s="8">
        <v>45853.50203358796</v>
      </c>
      <c r="K22" s="7" t="s">
        <v>397</v>
      </c>
      <c r="L22" s="7" t="s">
        <v>397</v>
      </c>
    </row>
    <row r="23" spans="1:12" x14ac:dyDescent="0.25">
      <c r="A23" s="7">
        <v>39</v>
      </c>
      <c r="B23" s="7">
        <v>3811</v>
      </c>
      <c r="C23" s="7">
        <v>134</v>
      </c>
      <c r="D23" s="7" t="s">
        <v>454</v>
      </c>
      <c r="E23" s="7" t="s">
        <v>118</v>
      </c>
      <c r="F23" s="7" t="s">
        <v>455</v>
      </c>
      <c r="G23" s="7" t="s">
        <v>396</v>
      </c>
      <c r="H23" s="7">
        <v>1</v>
      </c>
      <c r="I23" s="8">
        <v>45853.50203358796</v>
      </c>
      <c r="J23" s="8">
        <v>45853.50203358796</v>
      </c>
      <c r="K23" s="7" t="s">
        <v>397</v>
      </c>
      <c r="L23" s="7" t="s">
        <v>397</v>
      </c>
    </row>
    <row r="24" spans="1:12" x14ac:dyDescent="0.25">
      <c r="A24" s="7">
        <v>40</v>
      </c>
      <c r="B24" s="7">
        <v>7265</v>
      </c>
      <c r="C24" s="7">
        <v>45</v>
      </c>
      <c r="D24" s="7" t="s">
        <v>456</v>
      </c>
      <c r="E24" s="7" t="s">
        <v>457</v>
      </c>
      <c r="F24" s="7" t="s">
        <v>458</v>
      </c>
      <c r="G24" s="7" t="s">
        <v>396</v>
      </c>
      <c r="H24" s="7">
        <v>1</v>
      </c>
      <c r="I24" s="8">
        <v>45853.50203358796</v>
      </c>
      <c r="J24" s="8">
        <v>45853.50203358796</v>
      </c>
      <c r="K24" s="7" t="s">
        <v>397</v>
      </c>
      <c r="L24" s="7" t="s">
        <v>397</v>
      </c>
    </row>
    <row r="25" spans="1:12" x14ac:dyDescent="0.25">
      <c r="A25" s="7">
        <v>42</v>
      </c>
      <c r="B25" s="7">
        <v>8020</v>
      </c>
      <c r="C25" s="7">
        <v>0</v>
      </c>
      <c r="D25" s="7" t="s">
        <v>459</v>
      </c>
      <c r="E25" s="7" t="s">
        <v>60</v>
      </c>
      <c r="F25" s="7" t="s">
        <v>460</v>
      </c>
      <c r="G25" s="7" t="s">
        <v>396</v>
      </c>
      <c r="H25" s="7">
        <v>1</v>
      </c>
      <c r="I25" s="8">
        <v>45853.50203358796</v>
      </c>
      <c r="J25" s="8">
        <v>45853.50203358796</v>
      </c>
      <c r="K25" s="7" t="s">
        <v>397</v>
      </c>
      <c r="L25" s="7" t="s">
        <v>397</v>
      </c>
    </row>
    <row r="26" spans="1:12" x14ac:dyDescent="0.25">
      <c r="A26" s="7">
        <v>46</v>
      </c>
      <c r="B26" s="7">
        <v>7568</v>
      </c>
      <c r="C26" s="7">
        <v>36</v>
      </c>
      <c r="D26" s="7" t="s">
        <v>461</v>
      </c>
      <c r="E26" s="7" t="s">
        <v>462</v>
      </c>
      <c r="F26" s="7" t="s">
        <v>463</v>
      </c>
      <c r="G26" s="7" t="s">
        <v>396</v>
      </c>
      <c r="H26" s="7">
        <v>1</v>
      </c>
      <c r="I26" s="8">
        <v>45853.50203358796</v>
      </c>
      <c r="J26" s="8">
        <v>45853.50203358796</v>
      </c>
      <c r="K26" s="7" t="s">
        <v>397</v>
      </c>
      <c r="L26" s="7" t="s">
        <v>397</v>
      </c>
    </row>
    <row r="27" spans="1:12" x14ac:dyDescent="0.25">
      <c r="A27" s="7">
        <v>47</v>
      </c>
      <c r="B27" s="7">
        <v>4377</v>
      </c>
      <c r="C27" s="7">
        <v>0</v>
      </c>
      <c r="D27" s="7" t="s">
        <v>464</v>
      </c>
      <c r="E27" s="7" t="s">
        <v>465</v>
      </c>
      <c r="F27" s="7" t="s">
        <v>466</v>
      </c>
      <c r="G27" s="7" t="s">
        <v>396</v>
      </c>
      <c r="H27" s="7">
        <v>1</v>
      </c>
      <c r="I27" s="8">
        <v>45853.50203358796</v>
      </c>
      <c r="J27" s="8">
        <v>45853.50203358796</v>
      </c>
      <c r="K27" s="7" t="s">
        <v>397</v>
      </c>
      <c r="L27" s="7" t="s">
        <v>397</v>
      </c>
    </row>
    <row r="28" spans="1:12" x14ac:dyDescent="0.25">
      <c r="A28" s="7">
        <v>50</v>
      </c>
      <c r="B28" s="7">
        <v>553551</v>
      </c>
      <c r="C28" s="7">
        <v>111</v>
      </c>
      <c r="D28" s="7" t="s">
        <v>467</v>
      </c>
      <c r="E28" s="7" t="s">
        <v>468</v>
      </c>
      <c r="F28" s="7" t="s">
        <v>469</v>
      </c>
      <c r="G28" s="7" t="s">
        <v>396</v>
      </c>
      <c r="H28" s="7">
        <v>1</v>
      </c>
      <c r="I28" s="8">
        <v>45853.50203358796</v>
      </c>
      <c r="J28" s="8">
        <v>45853.50203358796</v>
      </c>
      <c r="K28" s="7" t="s">
        <v>397</v>
      </c>
      <c r="L28" s="7" t="s">
        <v>397</v>
      </c>
    </row>
    <row r="29" spans="1:12" x14ac:dyDescent="0.25">
      <c r="A29" s="7">
        <v>51</v>
      </c>
      <c r="B29" s="7">
        <v>6125</v>
      </c>
      <c r="C29" s="7">
        <v>0</v>
      </c>
      <c r="D29" s="7" t="s">
        <v>470</v>
      </c>
      <c r="E29" s="7" t="s">
        <v>284</v>
      </c>
      <c r="F29" s="7" t="s">
        <v>471</v>
      </c>
      <c r="G29" s="7" t="s">
        <v>396</v>
      </c>
      <c r="H29" s="7">
        <v>1</v>
      </c>
      <c r="I29" s="8">
        <v>45853.50203358796</v>
      </c>
      <c r="J29" s="8">
        <v>45853.50203358796</v>
      </c>
      <c r="K29" s="7" t="s">
        <v>397</v>
      </c>
      <c r="L29" s="7" t="s">
        <v>397</v>
      </c>
    </row>
    <row r="30" spans="1:12" x14ac:dyDescent="0.25">
      <c r="A30" s="7">
        <v>53</v>
      </c>
      <c r="B30" s="7">
        <v>8138</v>
      </c>
      <c r="C30" s="7">
        <v>57</v>
      </c>
      <c r="D30" s="7" t="s">
        <v>472</v>
      </c>
      <c r="E30" s="7" t="s">
        <v>473</v>
      </c>
      <c r="F30" s="7" t="s">
        <v>474</v>
      </c>
      <c r="G30" s="7" t="s">
        <v>396</v>
      </c>
      <c r="H30" s="7">
        <v>1</v>
      </c>
      <c r="I30" s="8">
        <v>45853.50203358796</v>
      </c>
      <c r="J30" s="8">
        <v>45853.50203358796</v>
      </c>
      <c r="K30" s="7" t="s">
        <v>397</v>
      </c>
      <c r="L30" s="7" t="s">
        <v>397</v>
      </c>
    </row>
    <row r="31" spans="1:12" x14ac:dyDescent="0.25">
      <c r="A31" s="7">
        <v>55</v>
      </c>
      <c r="B31" s="7">
        <v>171</v>
      </c>
      <c r="C31" s="7">
        <v>0</v>
      </c>
      <c r="D31" s="7" t="s">
        <v>475</v>
      </c>
      <c r="E31" s="7" t="s">
        <v>157</v>
      </c>
      <c r="F31" s="7" t="s">
        <v>476</v>
      </c>
      <c r="G31" s="7" t="s">
        <v>396</v>
      </c>
      <c r="H31" s="7">
        <v>1</v>
      </c>
      <c r="I31" s="8">
        <v>45853.50203358796</v>
      </c>
      <c r="J31" s="8">
        <v>45853.50203358796</v>
      </c>
      <c r="K31" s="7" t="s">
        <v>397</v>
      </c>
      <c r="L31" s="7" t="s">
        <v>397</v>
      </c>
    </row>
    <row r="32" spans="1:12" x14ac:dyDescent="0.25">
      <c r="A32" s="7">
        <v>57</v>
      </c>
      <c r="B32" s="7">
        <v>585174</v>
      </c>
      <c r="C32" s="7">
        <v>141</v>
      </c>
      <c r="D32" s="7" t="s">
        <v>477</v>
      </c>
      <c r="E32" s="7" t="s">
        <v>478</v>
      </c>
      <c r="F32" s="7" t="s">
        <v>479</v>
      </c>
      <c r="G32" s="7" t="s">
        <v>396</v>
      </c>
      <c r="H32" s="7">
        <v>1</v>
      </c>
      <c r="I32" s="8">
        <v>45853.50203358796</v>
      </c>
      <c r="J32" s="8">
        <v>45853.50203358796</v>
      </c>
      <c r="K32" s="7" t="s">
        <v>397</v>
      </c>
      <c r="L32" s="7" t="s">
        <v>397</v>
      </c>
    </row>
    <row r="33" spans="1:12" x14ac:dyDescent="0.25">
      <c r="A33" s="7">
        <v>61</v>
      </c>
      <c r="B33" s="7">
        <v>1946</v>
      </c>
      <c r="C33" s="7">
        <v>29</v>
      </c>
      <c r="D33" s="7" t="s">
        <v>480</v>
      </c>
      <c r="E33" s="7" t="s">
        <v>481</v>
      </c>
      <c r="F33" s="7" t="s">
        <v>482</v>
      </c>
      <c r="G33" s="7" t="s">
        <v>396</v>
      </c>
      <c r="H33" s="7">
        <v>1</v>
      </c>
      <c r="I33" s="8">
        <v>45853.50203358796</v>
      </c>
      <c r="J33" s="8">
        <v>45853.50203358796</v>
      </c>
      <c r="K33" s="7" t="s">
        <v>397</v>
      </c>
      <c r="L33" s="7" t="s">
        <v>397</v>
      </c>
    </row>
    <row r="34" spans="1:12" x14ac:dyDescent="0.25">
      <c r="A34" s="7">
        <v>62</v>
      </c>
      <c r="B34" s="7">
        <v>2658</v>
      </c>
      <c r="C34" s="7">
        <v>45</v>
      </c>
      <c r="D34" s="7" t="s">
        <v>483</v>
      </c>
      <c r="E34" s="7" t="s">
        <v>484</v>
      </c>
      <c r="F34" s="7" t="s">
        <v>485</v>
      </c>
      <c r="G34" s="7" t="s">
        <v>396</v>
      </c>
      <c r="H34" s="7">
        <v>1</v>
      </c>
      <c r="I34" s="8">
        <v>45853.50203358796</v>
      </c>
      <c r="J34" s="8">
        <v>45853.50203358796</v>
      </c>
      <c r="K34" s="7" t="s">
        <v>397</v>
      </c>
      <c r="L34" s="7" t="s">
        <v>397</v>
      </c>
    </row>
    <row r="35" spans="1:12" x14ac:dyDescent="0.25">
      <c r="A35" s="7">
        <v>63</v>
      </c>
      <c r="B35" s="7">
        <v>1579</v>
      </c>
      <c r="C35" s="7">
        <v>104</v>
      </c>
      <c r="D35" s="7" t="s">
        <v>486</v>
      </c>
      <c r="E35" s="7" t="s">
        <v>487</v>
      </c>
      <c r="F35" s="7" t="s">
        <v>488</v>
      </c>
      <c r="G35" s="7" t="s">
        <v>396</v>
      </c>
      <c r="H35" s="7">
        <v>1</v>
      </c>
      <c r="I35" s="8">
        <v>45853.50203358796</v>
      </c>
      <c r="J35" s="8">
        <v>45853.50203358796</v>
      </c>
      <c r="K35" s="7" t="s">
        <v>397</v>
      </c>
      <c r="L35" s="7" t="s">
        <v>397</v>
      </c>
    </row>
    <row r="36" spans="1:12" x14ac:dyDescent="0.25">
      <c r="A36" s="7">
        <v>64</v>
      </c>
      <c r="B36" s="7">
        <v>5609</v>
      </c>
      <c r="C36" s="7">
        <v>59</v>
      </c>
      <c r="D36" s="7" t="s">
        <v>489</v>
      </c>
      <c r="E36" s="7" t="s">
        <v>490</v>
      </c>
      <c r="F36" s="7" t="s">
        <v>491</v>
      </c>
      <c r="G36" s="7" t="s">
        <v>396</v>
      </c>
      <c r="H36" s="7">
        <v>1</v>
      </c>
      <c r="I36" s="8">
        <v>45853.50203358796</v>
      </c>
      <c r="J36" s="8">
        <v>45853.50203358796</v>
      </c>
      <c r="K36" s="7" t="s">
        <v>397</v>
      </c>
      <c r="L36" s="7" t="s">
        <v>397</v>
      </c>
    </row>
    <row r="37" spans="1:12" x14ac:dyDescent="0.25">
      <c r="A37" s="7">
        <v>65</v>
      </c>
      <c r="B37" s="7">
        <v>7863</v>
      </c>
      <c r="C37" s="7">
        <v>36</v>
      </c>
      <c r="D37" s="7" t="s">
        <v>492</v>
      </c>
      <c r="E37" s="7" t="s">
        <v>493</v>
      </c>
      <c r="F37" s="7" t="s">
        <v>494</v>
      </c>
      <c r="G37" s="7" t="s">
        <v>396</v>
      </c>
      <c r="H37" s="7">
        <v>1</v>
      </c>
      <c r="I37" s="8">
        <v>45853.50203358796</v>
      </c>
      <c r="J37" s="8">
        <v>45853.50203358796</v>
      </c>
      <c r="K37" s="7" t="s">
        <v>397</v>
      </c>
      <c r="L37" s="7" t="s">
        <v>397</v>
      </c>
    </row>
    <row r="38" spans="1:12" x14ac:dyDescent="0.25">
      <c r="A38" s="7">
        <v>66</v>
      </c>
      <c r="B38" s="7">
        <v>7424</v>
      </c>
      <c r="C38" s="7">
        <v>4</v>
      </c>
      <c r="D38" s="7" t="s">
        <v>495</v>
      </c>
      <c r="E38" s="7" t="s">
        <v>75</v>
      </c>
      <c r="F38" s="7" t="s">
        <v>496</v>
      </c>
      <c r="G38" s="7" t="s">
        <v>396</v>
      </c>
      <c r="H38" s="7">
        <v>1</v>
      </c>
      <c r="I38" s="8">
        <v>45853.50203358796</v>
      </c>
      <c r="J38" s="8">
        <v>45853.50203358796</v>
      </c>
      <c r="K38" s="7" t="s">
        <v>397</v>
      </c>
      <c r="L38" s="7" t="s">
        <v>397</v>
      </c>
    </row>
    <row r="39" spans="1:12" x14ac:dyDescent="0.25">
      <c r="A39" s="7">
        <v>67</v>
      </c>
      <c r="B39" s="7">
        <v>2135</v>
      </c>
      <c r="C39" s="7">
        <v>0</v>
      </c>
      <c r="D39" s="7" t="s">
        <v>497</v>
      </c>
      <c r="E39" s="7" t="s">
        <v>32</v>
      </c>
      <c r="F39" s="7" t="s">
        <v>498</v>
      </c>
      <c r="G39" s="7" t="s">
        <v>396</v>
      </c>
      <c r="H39" s="7">
        <v>1</v>
      </c>
      <c r="I39" s="8">
        <v>45853.50203358796</v>
      </c>
      <c r="J39" s="8">
        <v>45853.50203358796</v>
      </c>
      <c r="K39" s="7" t="s">
        <v>397</v>
      </c>
      <c r="L39" s="7" t="s">
        <v>397</v>
      </c>
    </row>
    <row r="40" spans="1:12" x14ac:dyDescent="0.25">
      <c r="A40" s="7">
        <v>68</v>
      </c>
      <c r="B40" s="7">
        <v>1210</v>
      </c>
      <c r="C40" s="7">
        <v>36</v>
      </c>
      <c r="D40" s="7" t="s">
        <v>499</v>
      </c>
      <c r="E40" s="7" t="s">
        <v>500</v>
      </c>
      <c r="F40" s="7" t="s">
        <v>501</v>
      </c>
      <c r="G40" s="7" t="s">
        <v>396</v>
      </c>
      <c r="H40" s="7">
        <v>1</v>
      </c>
      <c r="I40" s="8">
        <v>45853.50203358796</v>
      </c>
      <c r="J40" s="8">
        <v>45853.50203358796</v>
      </c>
      <c r="K40" s="7" t="s">
        <v>397</v>
      </c>
      <c r="L40" s="7" t="s">
        <v>397</v>
      </c>
    </row>
    <row r="41" spans="1:12" x14ac:dyDescent="0.25">
      <c r="A41" s="7">
        <v>69</v>
      </c>
      <c r="B41" s="7">
        <v>7066</v>
      </c>
      <c r="C41" s="7">
        <v>45</v>
      </c>
      <c r="D41" s="7" t="s">
        <v>502</v>
      </c>
      <c r="E41" s="7" t="s">
        <v>503</v>
      </c>
      <c r="F41" s="7" t="s">
        <v>504</v>
      </c>
      <c r="G41" s="7" t="s">
        <v>396</v>
      </c>
      <c r="H41" s="7">
        <v>1</v>
      </c>
      <c r="I41" s="8">
        <v>45853.50203358796</v>
      </c>
      <c r="J41" s="8">
        <v>45853.50203358796</v>
      </c>
      <c r="K41" s="7" t="s">
        <v>397</v>
      </c>
      <c r="L41" s="7" t="s">
        <v>397</v>
      </c>
    </row>
    <row r="42" spans="1:12" x14ac:dyDescent="0.25">
      <c r="A42" s="7">
        <v>70</v>
      </c>
      <c r="B42" s="7">
        <v>2842</v>
      </c>
      <c r="C42" s="7">
        <v>103</v>
      </c>
      <c r="D42" s="7" t="s">
        <v>505</v>
      </c>
      <c r="E42" s="7" t="s">
        <v>206</v>
      </c>
      <c r="F42" s="7" t="s">
        <v>506</v>
      </c>
      <c r="G42" s="7" t="s">
        <v>396</v>
      </c>
      <c r="H42" s="7">
        <v>1</v>
      </c>
      <c r="I42" s="8">
        <v>45853.50203358796</v>
      </c>
      <c r="J42" s="8">
        <v>45853.50203358796</v>
      </c>
      <c r="K42" s="7" t="s">
        <v>397</v>
      </c>
      <c r="L42" s="7" t="s">
        <v>397</v>
      </c>
    </row>
    <row r="43" spans="1:12" x14ac:dyDescent="0.25">
      <c r="A43" s="7">
        <v>71</v>
      </c>
      <c r="B43" s="7">
        <v>5845</v>
      </c>
      <c r="C43" s="7">
        <v>29</v>
      </c>
      <c r="D43" s="7" t="s">
        <v>507</v>
      </c>
      <c r="E43" s="7" t="s">
        <v>508</v>
      </c>
      <c r="F43" s="7" t="s">
        <v>509</v>
      </c>
      <c r="G43" s="7" t="s">
        <v>396</v>
      </c>
      <c r="H43" s="7">
        <v>1</v>
      </c>
      <c r="I43" s="8">
        <v>45853.50203358796</v>
      </c>
      <c r="J43" s="8">
        <v>45853.50203358796</v>
      </c>
      <c r="K43" s="7" t="s">
        <v>397</v>
      </c>
      <c r="L43" s="7" t="s">
        <v>397</v>
      </c>
    </row>
    <row r="44" spans="1:12" x14ac:dyDescent="0.25">
      <c r="A44" s="7">
        <v>72</v>
      </c>
      <c r="B44" s="7">
        <v>844</v>
      </c>
      <c r="C44" s="7">
        <v>34</v>
      </c>
      <c r="D44" s="7" t="s">
        <v>510</v>
      </c>
      <c r="E44" s="7" t="s">
        <v>511</v>
      </c>
      <c r="F44" s="7" t="s">
        <v>512</v>
      </c>
      <c r="G44" s="7" t="s">
        <v>396</v>
      </c>
      <c r="H44" s="7">
        <v>1</v>
      </c>
      <c r="I44" s="8">
        <v>45853.50203358796</v>
      </c>
      <c r="J44" s="8">
        <v>45853.50203358796</v>
      </c>
      <c r="K44" s="7" t="s">
        <v>397</v>
      </c>
      <c r="L44" s="7" t="s">
        <v>397</v>
      </c>
    </row>
    <row r="45" spans="1:12" x14ac:dyDescent="0.25">
      <c r="A45" s="7">
        <v>74</v>
      </c>
      <c r="B45" s="7">
        <v>7095</v>
      </c>
      <c r="C45" s="7">
        <v>47</v>
      </c>
      <c r="D45" s="7" t="s">
        <v>513</v>
      </c>
      <c r="E45" s="7" t="s">
        <v>200</v>
      </c>
      <c r="F45" s="7" t="s">
        <v>514</v>
      </c>
      <c r="G45" s="7" t="s">
        <v>396</v>
      </c>
      <c r="H45" s="7">
        <v>1</v>
      </c>
      <c r="I45" s="8">
        <v>45853.50203358796</v>
      </c>
      <c r="J45" s="8">
        <v>45853.50203358796</v>
      </c>
      <c r="K45" s="7" t="s">
        <v>397</v>
      </c>
      <c r="L45" s="7" t="s">
        <v>397</v>
      </c>
    </row>
    <row r="46" spans="1:12" x14ac:dyDescent="0.25">
      <c r="A46" s="7">
        <v>75</v>
      </c>
      <c r="B46" s="7">
        <v>1257</v>
      </c>
      <c r="C46" s="7">
        <v>33</v>
      </c>
      <c r="D46" s="7" t="s">
        <v>515</v>
      </c>
      <c r="E46" s="7" t="s">
        <v>516</v>
      </c>
      <c r="F46" s="7" t="s">
        <v>517</v>
      </c>
      <c r="G46" s="7" t="s">
        <v>396</v>
      </c>
      <c r="H46" s="7">
        <v>1</v>
      </c>
      <c r="I46" s="8">
        <v>45853.50203358796</v>
      </c>
      <c r="J46" s="8">
        <v>45853.50203358796</v>
      </c>
      <c r="K46" s="7" t="s">
        <v>397</v>
      </c>
      <c r="L46" s="7" t="s">
        <v>397</v>
      </c>
    </row>
    <row r="47" spans="1:12" x14ac:dyDescent="0.25">
      <c r="A47" s="7">
        <v>79</v>
      </c>
      <c r="B47" s="7">
        <v>2955581</v>
      </c>
      <c r="C47" s="7">
        <v>46</v>
      </c>
      <c r="D47" s="7" t="s">
        <v>518</v>
      </c>
      <c r="E47" s="7" t="s">
        <v>519</v>
      </c>
      <c r="F47" s="7" t="s">
        <v>520</v>
      </c>
      <c r="G47" s="7" t="s">
        <v>396</v>
      </c>
      <c r="H47" s="7">
        <v>1</v>
      </c>
      <c r="I47" s="8">
        <v>45853.50203358796</v>
      </c>
      <c r="J47" s="8">
        <v>45853.50203358796</v>
      </c>
      <c r="K47" s="7" t="s">
        <v>397</v>
      </c>
      <c r="L47" s="7" t="s">
        <v>397</v>
      </c>
    </row>
    <row r="48" spans="1:12" x14ac:dyDescent="0.25">
      <c r="A48" s="7">
        <v>80</v>
      </c>
      <c r="B48" s="7">
        <v>1578</v>
      </c>
      <c r="C48" s="7">
        <v>29</v>
      </c>
      <c r="D48" s="7" t="s">
        <v>521</v>
      </c>
      <c r="E48" s="7" t="s">
        <v>522</v>
      </c>
      <c r="F48" s="7" t="s">
        <v>523</v>
      </c>
      <c r="G48" s="7" t="s">
        <v>396</v>
      </c>
      <c r="H48" s="7">
        <v>1</v>
      </c>
      <c r="I48" s="8">
        <v>45853.50203358796</v>
      </c>
      <c r="J48" s="8">
        <v>45853.50203358796</v>
      </c>
      <c r="K48" s="7" t="s">
        <v>397</v>
      </c>
      <c r="L48" s="7" t="s">
        <v>397</v>
      </c>
    </row>
    <row r="49" spans="1:12" x14ac:dyDescent="0.25">
      <c r="A49" s="7">
        <v>82</v>
      </c>
      <c r="B49" s="7">
        <v>5590</v>
      </c>
      <c r="C49" s="7">
        <v>45</v>
      </c>
      <c r="D49" s="7" t="s">
        <v>524</v>
      </c>
      <c r="E49" s="7" t="s">
        <v>109</v>
      </c>
      <c r="F49" s="7" t="s">
        <v>525</v>
      </c>
      <c r="G49" s="7" t="s">
        <v>396</v>
      </c>
      <c r="H49" s="7">
        <v>1</v>
      </c>
      <c r="I49" s="8">
        <v>45853.50203358796</v>
      </c>
      <c r="J49" s="8">
        <v>45853.50203358796</v>
      </c>
      <c r="K49" s="7" t="s">
        <v>397</v>
      </c>
      <c r="L49" s="7" t="s">
        <v>397</v>
      </c>
    </row>
    <row r="50" spans="1:12" x14ac:dyDescent="0.25">
      <c r="A50" s="7">
        <v>83</v>
      </c>
      <c r="B50" s="7">
        <v>5408</v>
      </c>
      <c r="C50" s="7">
        <v>54</v>
      </c>
      <c r="D50" s="7" t="s">
        <v>526</v>
      </c>
      <c r="E50" s="7" t="s">
        <v>527</v>
      </c>
      <c r="F50" s="7" t="s">
        <v>528</v>
      </c>
      <c r="G50" s="7" t="s">
        <v>396</v>
      </c>
      <c r="H50" s="7">
        <v>1</v>
      </c>
      <c r="I50" s="8">
        <v>45853.50203358796</v>
      </c>
      <c r="J50" s="8">
        <v>45853.50203358796</v>
      </c>
      <c r="K50" s="7" t="s">
        <v>397</v>
      </c>
      <c r="L50" s="7" t="s">
        <v>397</v>
      </c>
    </row>
    <row r="51" spans="1:12" x14ac:dyDescent="0.25">
      <c r="A51" s="7">
        <v>84</v>
      </c>
      <c r="B51" s="7">
        <v>6716</v>
      </c>
      <c r="C51" s="7">
        <v>45</v>
      </c>
      <c r="D51" s="7" t="s">
        <v>529</v>
      </c>
      <c r="E51" s="7" t="s">
        <v>530</v>
      </c>
      <c r="F51" s="7" t="s">
        <v>531</v>
      </c>
      <c r="G51" s="7" t="s">
        <v>396</v>
      </c>
      <c r="H51" s="7">
        <v>1</v>
      </c>
      <c r="I51" s="8">
        <v>45853.50203358796</v>
      </c>
      <c r="J51" s="8">
        <v>45853.50203358796</v>
      </c>
      <c r="K51" s="7" t="s">
        <v>397</v>
      </c>
      <c r="L51" s="7" t="s">
        <v>397</v>
      </c>
    </row>
    <row r="52" spans="1:12" x14ac:dyDescent="0.25">
      <c r="A52" s="7">
        <v>85</v>
      </c>
      <c r="B52" s="7">
        <v>2996</v>
      </c>
      <c r="C52" s="7">
        <v>36</v>
      </c>
      <c r="D52" s="7" t="s">
        <v>532</v>
      </c>
      <c r="E52" s="7" t="s">
        <v>533</v>
      </c>
      <c r="F52" s="7" t="s">
        <v>534</v>
      </c>
      <c r="G52" s="7" t="s">
        <v>396</v>
      </c>
      <c r="H52" s="7">
        <v>1</v>
      </c>
      <c r="I52" s="8">
        <v>45853.50203358796</v>
      </c>
      <c r="J52" s="8">
        <v>45853.50203358796</v>
      </c>
      <c r="K52" s="7" t="s">
        <v>397</v>
      </c>
      <c r="L52" s="7" t="s">
        <v>397</v>
      </c>
    </row>
    <row r="53" spans="1:12" x14ac:dyDescent="0.25">
      <c r="A53" s="7">
        <v>86</v>
      </c>
      <c r="B53" s="7">
        <v>6508</v>
      </c>
      <c r="C53" s="7">
        <v>59</v>
      </c>
      <c r="D53" s="7" t="s">
        <v>535</v>
      </c>
      <c r="E53" s="7" t="s">
        <v>98</v>
      </c>
      <c r="F53" s="7" t="s">
        <v>536</v>
      </c>
      <c r="G53" s="7" t="s">
        <v>396</v>
      </c>
      <c r="H53" s="7">
        <v>1</v>
      </c>
      <c r="I53" s="8">
        <v>45853.50203358796</v>
      </c>
      <c r="J53" s="8">
        <v>45853.50203358796</v>
      </c>
      <c r="K53" s="7" t="s">
        <v>397</v>
      </c>
      <c r="L53" s="7" t="s">
        <v>397</v>
      </c>
    </row>
    <row r="54" spans="1:12" x14ac:dyDescent="0.25">
      <c r="A54" s="7">
        <v>87</v>
      </c>
      <c r="B54" s="7">
        <v>6765</v>
      </c>
      <c r="C54" s="7">
        <v>63</v>
      </c>
      <c r="D54" s="7" t="s">
        <v>537</v>
      </c>
      <c r="E54" s="7" t="s">
        <v>538</v>
      </c>
      <c r="F54" s="7" t="s">
        <v>539</v>
      </c>
      <c r="G54" s="7" t="s">
        <v>396</v>
      </c>
      <c r="H54" s="7">
        <v>1</v>
      </c>
      <c r="I54" s="8">
        <v>45853.50203358796</v>
      </c>
      <c r="J54" s="8">
        <v>45853.50203358796</v>
      </c>
      <c r="K54" s="7" t="s">
        <v>397</v>
      </c>
      <c r="L54" s="7" t="s">
        <v>397</v>
      </c>
    </row>
    <row r="55" spans="1:12" x14ac:dyDescent="0.25">
      <c r="A55" s="7">
        <v>89</v>
      </c>
      <c r="B55" s="7">
        <v>7082</v>
      </c>
      <c r="C55" s="7">
        <v>0</v>
      </c>
      <c r="D55" s="7" t="s">
        <v>540</v>
      </c>
      <c r="E55" s="7" t="s">
        <v>106</v>
      </c>
      <c r="F55" s="7" t="s">
        <v>541</v>
      </c>
      <c r="G55" s="7" t="s">
        <v>396</v>
      </c>
      <c r="H55" s="7">
        <v>1</v>
      </c>
      <c r="I55" s="8">
        <v>45853.50203358796</v>
      </c>
      <c r="J55" s="8">
        <v>45853.50203358796</v>
      </c>
      <c r="K55" s="7" t="s">
        <v>397</v>
      </c>
      <c r="L55" s="7" t="s">
        <v>397</v>
      </c>
    </row>
    <row r="56" spans="1:12" x14ac:dyDescent="0.25">
      <c r="A56" s="7">
        <v>90</v>
      </c>
      <c r="B56" s="7">
        <v>3545</v>
      </c>
      <c r="C56" s="7">
        <v>28</v>
      </c>
      <c r="D56" s="7" t="s">
        <v>542</v>
      </c>
      <c r="E56" s="7" t="s">
        <v>543</v>
      </c>
      <c r="F56" s="7" t="s">
        <v>544</v>
      </c>
      <c r="G56" s="7" t="s">
        <v>396</v>
      </c>
      <c r="H56" s="7">
        <v>1</v>
      </c>
      <c r="I56" s="8">
        <v>45853.50203358796</v>
      </c>
      <c r="J56" s="8">
        <v>45853.50203358796</v>
      </c>
      <c r="K56" s="7" t="s">
        <v>397</v>
      </c>
      <c r="L56" s="7" t="s">
        <v>397</v>
      </c>
    </row>
    <row r="57" spans="1:12" x14ac:dyDescent="0.25">
      <c r="A57" s="7">
        <v>91</v>
      </c>
      <c r="B57" s="7">
        <v>3800</v>
      </c>
      <c r="C57" s="7">
        <v>36</v>
      </c>
      <c r="D57" s="7" t="s">
        <v>545</v>
      </c>
      <c r="E57" s="7" t="s">
        <v>546</v>
      </c>
      <c r="F57" s="7" t="s">
        <v>547</v>
      </c>
      <c r="G57" s="7" t="s">
        <v>396</v>
      </c>
      <c r="H57" s="7">
        <v>1</v>
      </c>
      <c r="I57" s="8">
        <v>45853.50203358796</v>
      </c>
      <c r="J57" s="8">
        <v>45853.50203358796</v>
      </c>
      <c r="K57" s="7" t="s">
        <v>397</v>
      </c>
      <c r="L57" s="7" t="s">
        <v>397</v>
      </c>
    </row>
    <row r="58" spans="1:12" x14ac:dyDescent="0.25">
      <c r="A58" s="7">
        <v>92</v>
      </c>
      <c r="B58" s="7">
        <v>3400</v>
      </c>
      <c r="C58" s="7">
        <v>28</v>
      </c>
      <c r="D58" s="7" t="s">
        <v>548</v>
      </c>
      <c r="E58" s="7" t="s">
        <v>549</v>
      </c>
      <c r="F58" s="7" t="s">
        <v>550</v>
      </c>
      <c r="G58" s="7" t="s">
        <v>396</v>
      </c>
      <c r="H58" s="7">
        <v>1</v>
      </c>
      <c r="I58" s="8">
        <v>45853.50203358796</v>
      </c>
      <c r="J58" s="8">
        <v>45853.50203358796</v>
      </c>
      <c r="K58" s="7" t="s">
        <v>397</v>
      </c>
      <c r="L58" s="7" t="s">
        <v>397</v>
      </c>
    </row>
    <row r="59" spans="1:12" x14ac:dyDescent="0.25">
      <c r="A59" s="7">
        <v>93</v>
      </c>
      <c r="B59" s="7">
        <v>1602</v>
      </c>
      <c r="C59" s="7">
        <v>36</v>
      </c>
      <c r="D59" s="7" t="s">
        <v>551</v>
      </c>
      <c r="E59" s="7" t="s">
        <v>552</v>
      </c>
      <c r="F59" s="7" t="s">
        <v>553</v>
      </c>
      <c r="G59" s="7" t="s">
        <v>396</v>
      </c>
      <c r="H59" s="7">
        <v>1</v>
      </c>
      <c r="I59" s="8">
        <v>45853.50203358796</v>
      </c>
      <c r="J59" s="8">
        <v>45853.50203358796</v>
      </c>
      <c r="K59" s="7" t="s">
        <v>397</v>
      </c>
      <c r="L59" s="7" t="s">
        <v>397</v>
      </c>
    </row>
    <row r="60" spans="1:12" x14ac:dyDescent="0.25">
      <c r="A60" s="7">
        <v>95</v>
      </c>
      <c r="B60" s="7">
        <v>5328</v>
      </c>
      <c r="C60" s="7">
        <v>0</v>
      </c>
      <c r="D60" s="7" t="s">
        <v>554</v>
      </c>
      <c r="E60" s="7" t="s">
        <v>256</v>
      </c>
      <c r="F60" s="7" t="s">
        <v>555</v>
      </c>
      <c r="G60" s="7" t="s">
        <v>396</v>
      </c>
      <c r="H60" s="7">
        <v>1</v>
      </c>
      <c r="I60" s="8">
        <v>45853.50203358796</v>
      </c>
      <c r="J60" s="8">
        <v>45853.50203358796</v>
      </c>
      <c r="K60" s="7" t="s">
        <v>397</v>
      </c>
      <c r="L60" s="7" t="s">
        <v>397</v>
      </c>
    </row>
    <row r="61" spans="1:12" x14ac:dyDescent="0.25">
      <c r="A61" s="7">
        <v>96</v>
      </c>
      <c r="B61" s="7">
        <v>1110</v>
      </c>
      <c r="C61" s="7">
        <v>0</v>
      </c>
      <c r="D61" s="7" t="s">
        <v>556</v>
      </c>
      <c r="E61" s="7" t="s">
        <v>56</v>
      </c>
      <c r="F61" s="7" t="s">
        <v>557</v>
      </c>
      <c r="G61" s="7" t="s">
        <v>396</v>
      </c>
      <c r="H61" s="7">
        <v>1</v>
      </c>
      <c r="I61" s="8">
        <v>45853.50203358796</v>
      </c>
      <c r="J61" s="8">
        <v>45853.50203358796</v>
      </c>
      <c r="K61" s="7" t="s">
        <v>397</v>
      </c>
      <c r="L61" s="7" t="s">
        <v>397</v>
      </c>
    </row>
    <row r="62" spans="1:12" x14ac:dyDescent="0.25">
      <c r="A62" s="7">
        <v>97</v>
      </c>
      <c r="B62" s="7">
        <v>3537</v>
      </c>
      <c r="C62" s="7">
        <v>0</v>
      </c>
      <c r="D62" s="7" t="s">
        <v>558</v>
      </c>
      <c r="E62" s="7" t="s">
        <v>136</v>
      </c>
      <c r="F62" s="7" t="s">
        <v>559</v>
      </c>
      <c r="G62" s="7" t="s">
        <v>396</v>
      </c>
      <c r="H62" s="7">
        <v>1</v>
      </c>
      <c r="I62" s="8">
        <v>45853.50203358796</v>
      </c>
      <c r="J62" s="8">
        <v>45853.50203358796</v>
      </c>
      <c r="K62" s="7" t="s">
        <v>397</v>
      </c>
      <c r="L62" s="7" t="s">
        <v>397</v>
      </c>
    </row>
    <row r="63" spans="1:12" x14ac:dyDescent="0.25">
      <c r="A63" s="7">
        <v>100</v>
      </c>
      <c r="B63" s="7">
        <v>7057</v>
      </c>
      <c r="C63" s="7">
        <v>47</v>
      </c>
      <c r="D63" s="7" t="s">
        <v>560</v>
      </c>
      <c r="E63" s="7" t="s">
        <v>561</v>
      </c>
      <c r="F63" s="7" t="s">
        <v>562</v>
      </c>
      <c r="G63" s="7" t="s">
        <v>396</v>
      </c>
      <c r="H63" s="7">
        <v>1</v>
      </c>
      <c r="I63" s="8">
        <v>45853.50203358796</v>
      </c>
      <c r="J63" s="8">
        <v>45853.50203358796</v>
      </c>
      <c r="K63" s="7" t="s">
        <v>397</v>
      </c>
      <c r="L63" s="7" t="s">
        <v>397</v>
      </c>
    </row>
    <row r="64" spans="1:12" x14ac:dyDescent="0.25">
      <c r="A64" s="7">
        <v>101</v>
      </c>
      <c r="B64" s="7">
        <v>738</v>
      </c>
      <c r="C64" s="7">
        <v>90</v>
      </c>
      <c r="D64" s="7" t="s">
        <v>563</v>
      </c>
      <c r="E64" s="7" t="s">
        <v>329</v>
      </c>
      <c r="F64" s="7" t="s">
        <v>564</v>
      </c>
      <c r="G64" s="7" t="s">
        <v>396</v>
      </c>
      <c r="H64" s="7">
        <v>1</v>
      </c>
      <c r="I64" s="8">
        <v>45853.50203358796</v>
      </c>
      <c r="J64" s="8">
        <v>45853.50203358796</v>
      </c>
      <c r="K64" s="7" t="s">
        <v>397</v>
      </c>
      <c r="L64" s="7" t="s">
        <v>397</v>
      </c>
    </row>
    <row r="65" spans="1:12" x14ac:dyDescent="0.25">
      <c r="A65" s="7">
        <v>104</v>
      </c>
      <c r="B65" s="7">
        <v>4603</v>
      </c>
      <c r="C65" s="7">
        <v>0</v>
      </c>
      <c r="D65" s="7" t="s">
        <v>565</v>
      </c>
      <c r="E65" s="7" t="s">
        <v>566</v>
      </c>
      <c r="F65" s="7" t="s">
        <v>567</v>
      </c>
      <c r="G65" s="7" t="s">
        <v>396</v>
      </c>
      <c r="H65" s="7">
        <v>1</v>
      </c>
      <c r="I65" s="8">
        <v>45853.50203358796</v>
      </c>
      <c r="J65" s="8">
        <v>45853.50203358796</v>
      </c>
      <c r="K65" s="7" t="s">
        <v>397</v>
      </c>
      <c r="L65" s="7" t="s">
        <v>397</v>
      </c>
    </row>
    <row r="66" spans="1:12" x14ac:dyDescent="0.25">
      <c r="A66" s="7">
        <v>105</v>
      </c>
      <c r="B66" s="7">
        <v>5365</v>
      </c>
      <c r="C66" s="7">
        <v>0</v>
      </c>
      <c r="D66" s="7" t="s">
        <v>568</v>
      </c>
      <c r="E66" s="7" t="s">
        <v>569</v>
      </c>
      <c r="F66" s="7" t="s">
        <v>570</v>
      </c>
      <c r="G66" s="7" t="s">
        <v>396</v>
      </c>
      <c r="H66" s="7">
        <v>1</v>
      </c>
      <c r="I66" s="8">
        <v>45853.50203358796</v>
      </c>
      <c r="J66" s="8">
        <v>45853.50203358796</v>
      </c>
      <c r="K66" s="7" t="s">
        <v>397</v>
      </c>
      <c r="L66" s="7" t="s">
        <v>397</v>
      </c>
    </row>
    <row r="67" spans="1:12" x14ac:dyDescent="0.25">
      <c r="A67" s="7">
        <v>106</v>
      </c>
      <c r="B67" s="7">
        <v>5377</v>
      </c>
      <c r="C67" s="7">
        <v>0</v>
      </c>
      <c r="D67" s="7" t="s">
        <v>571</v>
      </c>
      <c r="E67" s="7" t="s">
        <v>175</v>
      </c>
      <c r="F67" s="7" t="s">
        <v>572</v>
      </c>
      <c r="G67" s="7" t="s">
        <v>396</v>
      </c>
      <c r="H67" s="7">
        <v>1</v>
      </c>
      <c r="I67" s="8">
        <v>45853.50203358796</v>
      </c>
      <c r="J67" s="8">
        <v>45853.50203358796</v>
      </c>
      <c r="K67" s="7" t="s">
        <v>397</v>
      </c>
      <c r="L67" s="7" t="s">
        <v>397</v>
      </c>
    </row>
    <row r="68" spans="1:12" x14ac:dyDescent="0.25">
      <c r="A68" s="7">
        <v>107</v>
      </c>
      <c r="B68" s="7">
        <v>107</v>
      </c>
      <c r="C68" s="7">
        <v>29</v>
      </c>
      <c r="D68" s="7" t="s">
        <v>573</v>
      </c>
      <c r="E68" s="7" t="s">
        <v>574</v>
      </c>
      <c r="F68" s="7" t="s">
        <v>575</v>
      </c>
      <c r="G68" s="7" t="s">
        <v>396</v>
      </c>
      <c r="H68" s="7">
        <v>1</v>
      </c>
      <c r="I68" s="8">
        <v>45853.50203358796</v>
      </c>
      <c r="J68" s="8">
        <v>45853.50203358796</v>
      </c>
      <c r="K68" s="7" t="s">
        <v>397</v>
      </c>
      <c r="L68" s="7" t="s">
        <v>397</v>
      </c>
    </row>
    <row r="69" spans="1:12" x14ac:dyDescent="0.25">
      <c r="A69" s="7">
        <v>109</v>
      </c>
      <c r="B69" s="7">
        <v>5415</v>
      </c>
      <c r="C69" s="7">
        <v>45</v>
      </c>
      <c r="D69" s="7" t="s">
        <v>576</v>
      </c>
      <c r="E69" s="7" t="s">
        <v>577</v>
      </c>
      <c r="F69" s="7" t="s">
        <v>578</v>
      </c>
      <c r="G69" s="7" t="s">
        <v>396</v>
      </c>
      <c r="H69" s="7">
        <v>1</v>
      </c>
      <c r="I69" s="8">
        <v>45853.50203358796</v>
      </c>
      <c r="J69" s="8">
        <v>45853.50203358796</v>
      </c>
      <c r="K69" s="7" t="s">
        <v>397</v>
      </c>
      <c r="L69" s="7" t="s">
        <v>397</v>
      </c>
    </row>
    <row r="70" spans="1:12" x14ac:dyDescent="0.25">
      <c r="A70" s="7">
        <v>110</v>
      </c>
      <c r="B70" s="7">
        <v>3070</v>
      </c>
      <c r="C70" s="7">
        <v>0</v>
      </c>
      <c r="D70" s="7" t="s">
        <v>579</v>
      </c>
      <c r="E70" s="7" t="s">
        <v>580</v>
      </c>
      <c r="F70" s="7" t="s">
        <v>581</v>
      </c>
      <c r="G70" s="7" t="s">
        <v>396</v>
      </c>
      <c r="H70" s="7">
        <v>1</v>
      </c>
      <c r="I70" s="8">
        <v>45853.50203358796</v>
      </c>
      <c r="J70" s="8">
        <v>45853.50203358796</v>
      </c>
      <c r="K70" s="7" t="s">
        <v>397</v>
      </c>
      <c r="L70" s="7" t="s">
        <v>397</v>
      </c>
    </row>
    <row r="71" spans="1:12" x14ac:dyDescent="0.25">
      <c r="A71" s="7">
        <v>111</v>
      </c>
      <c r="B71" s="7">
        <v>5552</v>
      </c>
      <c r="C71" s="7">
        <v>0</v>
      </c>
      <c r="D71" s="7" t="s">
        <v>582</v>
      </c>
      <c r="E71" s="7" t="s">
        <v>583</v>
      </c>
      <c r="F71" s="7" t="s">
        <v>584</v>
      </c>
      <c r="G71" s="7" t="s">
        <v>396</v>
      </c>
      <c r="H71" s="7">
        <v>1</v>
      </c>
      <c r="I71" s="8">
        <v>45853.50203358796</v>
      </c>
      <c r="J71" s="8">
        <v>45853.50203358796</v>
      </c>
      <c r="K71" s="7" t="s">
        <v>397</v>
      </c>
      <c r="L71" s="7" t="s">
        <v>397</v>
      </c>
    </row>
    <row r="72" spans="1:12" x14ac:dyDescent="0.25">
      <c r="A72" s="7">
        <v>112</v>
      </c>
      <c r="B72" s="7">
        <v>5139</v>
      </c>
      <c r="C72" s="7">
        <v>45</v>
      </c>
      <c r="D72" s="7" t="s">
        <v>585</v>
      </c>
      <c r="E72" s="7" t="s">
        <v>586</v>
      </c>
      <c r="F72" s="7" t="s">
        <v>587</v>
      </c>
      <c r="G72" s="7" t="s">
        <v>396</v>
      </c>
      <c r="H72" s="7">
        <v>1</v>
      </c>
      <c r="I72" s="8">
        <v>45853.50203358796</v>
      </c>
      <c r="J72" s="8">
        <v>45853.50203358796</v>
      </c>
      <c r="K72" s="7" t="s">
        <v>397</v>
      </c>
      <c r="L72" s="7" t="s">
        <v>397</v>
      </c>
    </row>
    <row r="73" spans="1:12" x14ac:dyDescent="0.25">
      <c r="A73" s="7">
        <v>115</v>
      </c>
      <c r="B73" s="7">
        <v>6901</v>
      </c>
      <c r="C73" s="7">
        <v>59</v>
      </c>
      <c r="D73" s="7" t="s">
        <v>588</v>
      </c>
      <c r="E73" s="7" t="s">
        <v>104</v>
      </c>
      <c r="F73" s="7" t="s">
        <v>589</v>
      </c>
      <c r="G73" s="7" t="s">
        <v>396</v>
      </c>
      <c r="H73" s="7">
        <v>1</v>
      </c>
      <c r="I73" s="8">
        <v>45853.50203358796</v>
      </c>
      <c r="J73" s="8">
        <v>45853.50203358796</v>
      </c>
      <c r="K73" s="7" t="s">
        <v>397</v>
      </c>
      <c r="L73" s="7" t="s">
        <v>397</v>
      </c>
    </row>
    <row r="74" spans="1:12" x14ac:dyDescent="0.25">
      <c r="A74" s="7">
        <v>116</v>
      </c>
      <c r="B74" s="7">
        <v>8101</v>
      </c>
      <c r="C74" s="7">
        <v>36</v>
      </c>
      <c r="D74" s="7" t="s">
        <v>590</v>
      </c>
      <c r="E74" s="7" t="s">
        <v>591</v>
      </c>
      <c r="F74" s="7" t="s">
        <v>592</v>
      </c>
      <c r="G74" s="7" t="s">
        <v>396</v>
      </c>
      <c r="H74" s="7">
        <v>1</v>
      </c>
      <c r="I74" s="8">
        <v>45853.50203358796</v>
      </c>
      <c r="J74" s="8">
        <v>45853.50203358796</v>
      </c>
      <c r="K74" s="7" t="s">
        <v>397</v>
      </c>
      <c r="L74" s="7" t="s">
        <v>397</v>
      </c>
    </row>
    <row r="75" spans="1:12" x14ac:dyDescent="0.25">
      <c r="A75" s="7">
        <v>117</v>
      </c>
      <c r="B75" s="7">
        <v>33</v>
      </c>
      <c r="C75" s="7">
        <v>0</v>
      </c>
      <c r="D75" s="7" t="s">
        <v>593</v>
      </c>
      <c r="E75" s="7" t="s">
        <v>248</v>
      </c>
      <c r="F75" s="7" t="s">
        <v>594</v>
      </c>
      <c r="G75" s="7" t="s">
        <v>396</v>
      </c>
      <c r="H75" s="7">
        <v>1</v>
      </c>
      <c r="I75" s="8">
        <v>45853.50203358796</v>
      </c>
      <c r="J75" s="8">
        <v>45853.50203358796</v>
      </c>
      <c r="K75" s="7" t="s">
        <v>397</v>
      </c>
      <c r="L75" s="7" t="s">
        <v>397</v>
      </c>
    </row>
    <row r="76" spans="1:12" x14ac:dyDescent="0.25">
      <c r="A76" s="7">
        <v>119</v>
      </c>
      <c r="B76" s="7">
        <v>1728</v>
      </c>
      <c r="C76" s="7">
        <v>52</v>
      </c>
      <c r="D76" s="7" t="s">
        <v>595</v>
      </c>
      <c r="E76" s="7" t="s">
        <v>596</v>
      </c>
      <c r="F76" s="7" t="s">
        <v>597</v>
      </c>
      <c r="G76" s="7" t="s">
        <v>396</v>
      </c>
      <c r="H76" s="7">
        <v>1</v>
      </c>
      <c r="I76" s="8">
        <v>45853.50203358796</v>
      </c>
      <c r="J76" s="8">
        <v>45853.50203358796</v>
      </c>
      <c r="K76" s="7" t="s">
        <v>397</v>
      </c>
      <c r="L76" s="7" t="s">
        <v>397</v>
      </c>
    </row>
    <row r="77" spans="1:12" x14ac:dyDescent="0.25">
      <c r="A77" s="7">
        <v>121</v>
      </c>
      <c r="B77" s="7">
        <v>7089</v>
      </c>
      <c r="C77" s="7">
        <v>59</v>
      </c>
      <c r="D77" s="7" t="s">
        <v>598</v>
      </c>
      <c r="E77" s="7" t="s">
        <v>93</v>
      </c>
      <c r="F77" s="7" t="s">
        <v>599</v>
      </c>
      <c r="G77" s="7" t="s">
        <v>396</v>
      </c>
      <c r="H77" s="7">
        <v>1</v>
      </c>
      <c r="I77" s="8">
        <v>45853.50203358796</v>
      </c>
      <c r="J77" s="8">
        <v>45853.50203358796</v>
      </c>
      <c r="K77" s="7" t="s">
        <v>397</v>
      </c>
      <c r="L77" s="7" t="s">
        <v>397</v>
      </c>
    </row>
    <row r="78" spans="1:12" x14ac:dyDescent="0.25">
      <c r="A78" s="7">
        <v>123</v>
      </c>
      <c r="B78" s="7">
        <v>1471</v>
      </c>
      <c r="C78" s="7">
        <v>28</v>
      </c>
      <c r="D78" s="7" t="s">
        <v>600</v>
      </c>
      <c r="E78" s="7" t="s">
        <v>192</v>
      </c>
      <c r="F78" s="7" t="s">
        <v>601</v>
      </c>
      <c r="G78" s="7" t="s">
        <v>396</v>
      </c>
      <c r="H78" s="7">
        <v>1</v>
      </c>
      <c r="I78" s="8">
        <v>45853.50203358796</v>
      </c>
      <c r="J78" s="8">
        <v>45853.50203358796</v>
      </c>
      <c r="K78" s="7" t="s">
        <v>397</v>
      </c>
      <c r="L78" s="7" t="s">
        <v>397</v>
      </c>
    </row>
    <row r="79" spans="1:12" x14ac:dyDescent="0.25">
      <c r="A79" s="7">
        <v>124</v>
      </c>
      <c r="B79" s="7">
        <v>2291712</v>
      </c>
      <c r="C79" s="7">
        <v>19</v>
      </c>
      <c r="D79" s="7" t="s">
        <v>602</v>
      </c>
      <c r="E79" s="7" t="s">
        <v>603</v>
      </c>
      <c r="F79" s="7" t="s">
        <v>604</v>
      </c>
      <c r="G79" s="7" t="s">
        <v>396</v>
      </c>
      <c r="H79" s="7">
        <v>1</v>
      </c>
      <c r="I79" s="8">
        <v>45853.50203358796</v>
      </c>
      <c r="J79" s="8">
        <v>45853.50203358796</v>
      </c>
      <c r="K79" s="7" t="s">
        <v>397</v>
      </c>
      <c r="L79" s="7" t="s">
        <v>397</v>
      </c>
    </row>
    <row r="80" spans="1:12" x14ac:dyDescent="0.25">
      <c r="A80" s="7">
        <v>126</v>
      </c>
      <c r="B80" s="7">
        <v>4855</v>
      </c>
      <c r="C80" s="7">
        <v>0</v>
      </c>
      <c r="D80" s="7" t="s">
        <v>605</v>
      </c>
      <c r="E80" s="7" t="s">
        <v>36</v>
      </c>
      <c r="F80" s="7" t="s">
        <v>606</v>
      </c>
      <c r="G80" s="7" t="s">
        <v>396</v>
      </c>
      <c r="H80" s="7">
        <v>1</v>
      </c>
      <c r="I80" s="8">
        <v>45853.50203358796</v>
      </c>
      <c r="J80" s="8">
        <v>45853.50203358796</v>
      </c>
      <c r="K80" s="7" t="s">
        <v>397</v>
      </c>
      <c r="L80" s="7" t="s">
        <v>397</v>
      </c>
    </row>
    <row r="81" spans="1:12" x14ac:dyDescent="0.25">
      <c r="A81" s="7">
        <v>128</v>
      </c>
      <c r="B81" s="7">
        <v>3781</v>
      </c>
      <c r="C81" s="7">
        <v>36</v>
      </c>
      <c r="D81" s="7" t="s">
        <v>607</v>
      </c>
      <c r="E81" s="7" t="s">
        <v>608</v>
      </c>
      <c r="F81" s="7" t="s">
        <v>609</v>
      </c>
      <c r="G81" s="7" t="s">
        <v>396</v>
      </c>
      <c r="H81" s="7">
        <v>1</v>
      </c>
      <c r="I81" s="8">
        <v>45853.50203358796</v>
      </c>
      <c r="J81" s="8">
        <v>45853.50203358796</v>
      </c>
      <c r="K81" s="7" t="s">
        <v>397</v>
      </c>
      <c r="L81" s="7" t="s">
        <v>397</v>
      </c>
    </row>
    <row r="82" spans="1:12" x14ac:dyDescent="0.25">
      <c r="A82" s="7">
        <v>129</v>
      </c>
      <c r="B82" s="7">
        <v>2383877</v>
      </c>
      <c r="C82" s="7">
        <v>26</v>
      </c>
      <c r="D82" s="7" t="s">
        <v>610</v>
      </c>
      <c r="E82" s="7" t="s">
        <v>611</v>
      </c>
      <c r="F82" s="7" t="s">
        <v>612</v>
      </c>
      <c r="G82" s="7" t="s">
        <v>396</v>
      </c>
      <c r="H82" s="7">
        <v>1</v>
      </c>
      <c r="I82" s="8">
        <v>45853.50203358796</v>
      </c>
      <c r="J82" s="8">
        <v>45853.50203358796</v>
      </c>
      <c r="K82" s="7" t="s">
        <v>397</v>
      </c>
      <c r="L82" s="7" t="s">
        <v>397</v>
      </c>
    </row>
    <row r="83" spans="1:12" x14ac:dyDescent="0.25">
      <c r="A83" s="7">
        <v>131</v>
      </c>
      <c r="B83" s="7">
        <v>2766</v>
      </c>
      <c r="C83" s="7">
        <v>39</v>
      </c>
      <c r="D83" s="7" t="s">
        <v>613</v>
      </c>
      <c r="E83" s="7" t="s">
        <v>614</v>
      </c>
      <c r="F83" s="7" t="s">
        <v>615</v>
      </c>
      <c r="G83" s="7" t="s">
        <v>396</v>
      </c>
      <c r="H83" s="7">
        <v>1</v>
      </c>
      <c r="I83" s="8">
        <v>45853.50203358796</v>
      </c>
      <c r="J83" s="8">
        <v>45853.50203358796</v>
      </c>
      <c r="K83" s="7" t="s">
        <v>397</v>
      </c>
      <c r="L83" s="7" t="s">
        <v>397</v>
      </c>
    </row>
    <row r="84" spans="1:12" x14ac:dyDescent="0.25">
      <c r="A84" s="7">
        <v>132</v>
      </c>
      <c r="B84" s="7">
        <v>4721</v>
      </c>
      <c r="C84" s="7">
        <v>0</v>
      </c>
      <c r="D84" s="7" t="s">
        <v>616</v>
      </c>
      <c r="E84" s="7" t="s">
        <v>617</v>
      </c>
      <c r="F84" s="7" t="s">
        <v>618</v>
      </c>
      <c r="G84" s="7" t="s">
        <v>396</v>
      </c>
      <c r="H84" s="7">
        <v>1</v>
      </c>
      <c r="I84" s="8">
        <v>45853.50203358796</v>
      </c>
      <c r="J84" s="8">
        <v>45853.50203358796</v>
      </c>
      <c r="K84" s="7" t="s">
        <v>397</v>
      </c>
      <c r="L84" s="7" t="s">
        <v>397</v>
      </c>
    </row>
    <row r="85" spans="1:12" x14ac:dyDescent="0.25">
      <c r="A85" s="7">
        <v>133</v>
      </c>
      <c r="B85" s="7">
        <v>5014</v>
      </c>
      <c r="C85" s="7">
        <v>0</v>
      </c>
      <c r="D85" s="7" t="s">
        <v>619</v>
      </c>
      <c r="E85" s="7" t="s">
        <v>620</v>
      </c>
      <c r="F85" s="7" t="s">
        <v>621</v>
      </c>
      <c r="G85" s="7" t="s">
        <v>396</v>
      </c>
      <c r="H85" s="7">
        <v>1</v>
      </c>
      <c r="I85" s="8">
        <v>45853.50203358796</v>
      </c>
      <c r="J85" s="8">
        <v>45853.50203358796</v>
      </c>
      <c r="K85" s="7" t="s">
        <v>397</v>
      </c>
      <c r="L85" s="7" t="s">
        <v>397</v>
      </c>
    </row>
    <row r="86" spans="1:12" x14ac:dyDescent="0.25">
      <c r="A86" s="7">
        <v>134</v>
      </c>
      <c r="B86" s="7">
        <v>2645</v>
      </c>
      <c r="C86" s="7">
        <v>58</v>
      </c>
      <c r="D86" s="7" t="s">
        <v>622</v>
      </c>
      <c r="E86" s="7" t="s">
        <v>623</v>
      </c>
      <c r="F86" s="7" t="s">
        <v>624</v>
      </c>
      <c r="G86" s="7" t="s">
        <v>396</v>
      </c>
      <c r="H86" s="7">
        <v>1</v>
      </c>
      <c r="I86" s="8">
        <v>45853.50203358796</v>
      </c>
      <c r="J86" s="8">
        <v>45853.50203358796</v>
      </c>
      <c r="K86" s="7" t="s">
        <v>397</v>
      </c>
      <c r="L86" s="7" t="s">
        <v>397</v>
      </c>
    </row>
    <row r="87" spans="1:12" x14ac:dyDescent="0.25">
      <c r="A87" s="7">
        <v>136</v>
      </c>
      <c r="B87" s="7">
        <v>4160</v>
      </c>
      <c r="C87" s="7">
        <v>36</v>
      </c>
      <c r="D87" s="7" t="s">
        <v>625</v>
      </c>
      <c r="E87" s="7" t="s">
        <v>626</v>
      </c>
      <c r="F87" s="7" t="s">
        <v>627</v>
      </c>
      <c r="G87" s="7" t="s">
        <v>396</v>
      </c>
      <c r="H87" s="7">
        <v>1</v>
      </c>
      <c r="I87" s="8">
        <v>45853.50203358796</v>
      </c>
      <c r="J87" s="8">
        <v>45853.50203358796</v>
      </c>
      <c r="K87" s="7" t="s">
        <v>397</v>
      </c>
      <c r="L87" s="7" t="s">
        <v>397</v>
      </c>
    </row>
    <row r="88" spans="1:12" x14ac:dyDescent="0.25">
      <c r="A88" s="7">
        <v>138</v>
      </c>
      <c r="B88" s="7">
        <v>662</v>
      </c>
      <c r="C88" s="7">
        <v>39</v>
      </c>
      <c r="D88" s="7" t="s">
        <v>628</v>
      </c>
      <c r="E88" s="7" t="s">
        <v>629</v>
      </c>
      <c r="F88" s="7" t="s">
        <v>630</v>
      </c>
      <c r="G88" s="7" t="s">
        <v>396</v>
      </c>
      <c r="H88" s="7">
        <v>1</v>
      </c>
      <c r="I88" s="8">
        <v>45853.50203358796</v>
      </c>
      <c r="J88" s="8">
        <v>45853.50203358796</v>
      </c>
      <c r="K88" s="7" t="s">
        <v>397</v>
      </c>
      <c r="L88" s="7" t="s">
        <v>397</v>
      </c>
    </row>
    <row r="89" spans="1:12" x14ac:dyDescent="0.25">
      <c r="A89" s="7">
        <v>140</v>
      </c>
      <c r="B89" s="7">
        <v>5545</v>
      </c>
      <c r="C89" s="7">
        <v>29</v>
      </c>
      <c r="D89" s="7" t="s">
        <v>631</v>
      </c>
      <c r="E89" s="7" t="s">
        <v>632</v>
      </c>
      <c r="F89" s="7" t="s">
        <v>633</v>
      </c>
      <c r="G89" s="7" t="s">
        <v>396</v>
      </c>
      <c r="H89" s="7">
        <v>1</v>
      </c>
      <c r="I89" s="8">
        <v>45853.50203358796</v>
      </c>
      <c r="J89" s="8">
        <v>45853.50203358796</v>
      </c>
      <c r="K89" s="7" t="s">
        <v>397</v>
      </c>
      <c r="L89" s="7" t="s">
        <v>397</v>
      </c>
    </row>
    <row r="90" spans="1:12" x14ac:dyDescent="0.25">
      <c r="A90" s="7">
        <v>141</v>
      </c>
      <c r="B90" s="7">
        <v>363330</v>
      </c>
      <c r="C90" s="7">
        <v>29</v>
      </c>
      <c r="D90" s="7" t="s">
        <v>634</v>
      </c>
      <c r="E90" s="7" t="s">
        <v>635</v>
      </c>
      <c r="F90" s="7" t="s">
        <v>636</v>
      </c>
      <c r="G90" s="7" t="s">
        <v>396</v>
      </c>
      <c r="H90" s="7">
        <v>1</v>
      </c>
      <c r="I90" s="8">
        <v>45853.50203358796</v>
      </c>
      <c r="J90" s="8">
        <v>45853.50203358796</v>
      </c>
      <c r="K90" s="7" t="s">
        <v>397</v>
      </c>
      <c r="L90" s="7" t="s">
        <v>397</v>
      </c>
    </row>
    <row r="91" spans="1:12" x14ac:dyDescent="0.25">
      <c r="A91" s="7">
        <v>142</v>
      </c>
      <c r="B91" s="7">
        <v>4647</v>
      </c>
      <c r="C91" s="7">
        <v>29</v>
      </c>
      <c r="D91" s="7" t="s">
        <v>637</v>
      </c>
      <c r="E91" s="7" t="s">
        <v>638</v>
      </c>
      <c r="F91" s="7" t="s">
        <v>639</v>
      </c>
      <c r="G91" s="7" t="s">
        <v>396</v>
      </c>
      <c r="H91" s="7">
        <v>1</v>
      </c>
      <c r="I91" s="8">
        <v>45853.50203358796</v>
      </c>
      <c r="J91" s="8">
        <v>45853.50203358796</v>
      </c>
      <c r="K91" s="7" t="s">
        <v>397</v>
      </c>
      <c r="L91" s="7" t="s">
        <v>397</v>
      </c>
    </row>
    <row r="92" spans="1:12" x14ac:dyDescent="0.25">
      <c r="A92" s="7">
        <v>143</v>
      </c>
      <c r="B92" s="7">
        <v>3513</v>
      </c>
      <c r="C92" s="7">
        <v>39</v>
      </c>
      <c r="D92" s="7" t="s">
        <v>640</v>
      </c>
      <c r="E92" s="7" t="s">
        <v>641</v>
      </c>
      <c r="F92" s="7" t="s">
        <v>642</v>
      </c>
      <c r="G92" s="7" t="s">
        <v>396</v>
      </c>
      <c r="H92" s="7">
        <v>1</v>
      </c>
      <c r="I92" s="8">
        <v>45853.50203358796</v>
      </c>
      <c r="J92" s="8">
        <v>45853.50203358796</v>
      </c>
      <c r="K92" s="7" t="s">
        <v>397</v>
      </c>
      <c r="L92" s="7" t="s">
        <v>397</v>
      </c>
    </row>
    <row r="93" spans="1:12" x14ac:dyDescent="0.25">
      <c r="A93" s="7">
        <v>147</v>
      </c>
      <c r="B93" s="7">
        <v>6530364</v>
      </c>
      <c r="C93" s="7">
        <v>137</v>
      </c>
      <c r="D93" s="7" t="s">
        <v>643</v>
      </c>
      <c r="E93" s="7" t="s">
        <v>644</v>
      </c>
      <c r="F93" s="7" t="s">
        <v>645</v>
      </c>
      <c r="G93" s="7" t="s">
        <v>396</v>
      </c>
      <c r="H93" s="7">
        <v>1</v>
      </c>
      <c r="I93" s="8">
        <v>45853.50203358796</v>
      </c>
      <c r="J93" s="8">
        <v>45853.50203358796</v>
      </c>
      <c r="K93" s="7" t="s">
        <v>397</v>
      </c>
      <c r="L93" s="7" t="s">
        <v>397</v>
      </c>
    </row>
    <row r="94" spans="1:12" x14ac:dyDescent="0.25">
      <c r="A94" s="7">
        <v>149</v>
      </c>
      <c r="B94" s="7">
        <v>6862117</v>
      </c>
      <c r="C94" s="7">
        <v>39</v>
      </c>
      <c r="D94" s="7" t="s">
        <v>646</v>
      </c>
      <c r="E94" s="7" t="s">
        <v>647</v>
      </c>
      <c r="F94" s="7" t="s">
        <v>648</v>
      </c>
      <c r="G94" s="7" t="s">
        <v>396</v>
      </c>
      <c r="H94" s="7">
        <v>1</v>
      </c>
      <c r="I94" s="8">
        <v>45853.50203358796</v>
      </c>
      <c r="J94" s="8">
        <v>45853.50203358796</v>
      </c>
      <c r="K94" s="7" t="s">
        <v>397</v>
      </c>
      <c r="L94" s="7" t="s">
        <v>397</v>
      </c>
    </row>
    <row r="95" spans="1:12" x14ac:dyDescent="0.25">
      <c r="A95" s="7">
        <v>22</v>
      </c>
      <c r="B95" s="7">
        <v>7330</v>
      </c>
      <c r="C95" s="7">
        <v>0</v>
      </c>
      <c r="D95" s="7" t="s">
        <v>649</v>
      </c>
      <c r="E95" s="7" t="s">
        <v>650</v>
      </c>
      <c r="F95" s="7" t="s">
        <v>651</v>
      </c>
      <c r="G95" s="7" t="s">
        <v>396</v>
      </c>
      <c r="H95" s="7">
        <v>53</v>
      </c>
      <c r="I95" s="8">
        <v>45853.50203358796</v>
      </c>
      <c r="J95" s="8">
        <v>45853.50203358796</v>
      </c>
      <c r="K95" s="7" t="s">
        <v>397</v>
      </c>
      <c r="L95" s="7" t="s">
        <v>397</v>
      </c>
    </row>
    <row r="96" spans="1:12" x14ac:dyDescent="0.25">
      <c r="A96" s="7">
        <v>48</v>
      </c>
      <c r="B96" s="7">
        <v>8103</v>
      </c>
      <c r="C96" s="7">
        <v>0</v>
      </c>
      <c r="D96" s="7" t="s">
        <v>652</v>
      </c>
      <c r="E96" s="7" t="s">
        <v>653</v>
      </c>
      <c r="F96" s="7" t="s">
        <v>654</v>
      </c>
      <c r="G96" s="7" t="s">
        <v>396</v>
      </c>
      <c r="H96" s="7">
        <v>53</v>
      </c>
      <c r="I96" s="8">
        <v>45853.50203358796</v>
      </c>
      <c r="J96" s="8">
        <v>45853.50203358796</v>
      </c>
      <c r="K96" s="7" t="s">
        <v>397</v>
      </c>
      <c r="L96" s="7" t="s">
        <v>397</v>
      </c>
    </row>
    <row r="97" spans="1:12" x14ac:dyDescent="0.25">
      <c r="A97" s="7">
        <v>118</v>
      </c>
      <c r="B97" s="7">
        <v>2993913</v>
      </c>
      <c r="C97" s="7">
        <v>45</v>
      </c>
      <c r="D97" s="7" t="s">
        <v>655</v>
      </c>
      <c r="E97" s="7" t="s">
        <v>656</v>
      </c>
      <c r="F97" s="7" t="s">
        <v>657</v>
      </c>
      <c r="G97" s="7" t="s">
        <v>396</v>
      </c>
      <c r="H97" s="7">
        <v>75</v>
      </c>
      <c r="I97" s="8">
        <v>45853.50203358796</v>
      </c>
      <c r="J97" s="8">
        <v>45853.50203358796</v>
      </c>
      <c r="K97" s="7" t="s">
        <v>397</v>
      </c>
      <c r="L97" s="7" t="s">
        <v>397</v>
      </c>
    </row>
    <row r="98" spans="1:12" x14ac:dyDescent="0.25">
      <c r="A98" s="7">
        <v>1</v>
      </c>
      <c r="B98" s="7">
        <v>559</v>
      </c>
      <c r="C98" s="7">
        <v>45</v>
      </c>
      <c r="D98" s="7" t="s">
        <v>658</v>
      </c>
      <c r="E98" s="7" t="s">
        <v>659</v>
      </c>
      <c r="F98" s="7" t="s">
        <v>660</v>
      </c>
      <c r="G98" s="7" t="s">
        <v>396</v>
      </c>
      <c r="H98" s="7">
        <v>153</v>
      </c>
      <c r="I98" s="8">
        <v>45853.50203358796</v>
      </c>
      <c r="J98" s="8">
        <v>45853.50203358796</v>
      </c>
      <c r="K98" s="7" t="s">
        <v>397</v>
      </c>
      <c r="L98" s="7" t="s">
        <v>397</v>
      </c>
    </row>
    <row r="99" spans="1:12" x14ac:dyDescent="0.25">
      <c r="A99" s="7">
        <v>2</v>
      </c>
      <c r="B99" s="7">
        <v>4806</v>
      </c>
      <c r="C99" s="7">
        <v>26</v>
      </c>
      <c r="D99" s="7" t="s">
        <v>661</v>
      </c>
      <c r="E99" s="7" t="s">
        <v>662</v>
      </c>
      <c r="F99" s="7" t="s">
        <v>663</v>
      </c>
      <c r="G99" s="7" t="s">
        <v>396</v>
      </c>
      <c r="H99" s="7">
        <v>153</v>
      </c>
      <c r="I99" s="8">
        <v>45853.50203358796</v>
      </c>
      <c r="J99" s="8">
        <v>45853.50203358796</v>
      </c>
      <c r="K99" s="7" t="s">
        <v>397</v>
      </c>
      <c r="L99" s="7" t="s">
        <v>397</v>
      </c>
    </row>
    <row r="100" spans="1:12" x14ac:dyDescent="0.25">
      <c r="A100" s="7">
        <v>3</v>
      </c>
      <c r="B100" s="7">
        <v>1001</v>
      </c>
      <c r="C100" s="7">
        <v>26</v>
      </c>
      <c r="D100" s="7" t="s">
        <v>664</v>
      </c>
      <c r="E100" s="7" t="s">
        <v>665</v>
      </c>
      <c r="F100" s="7" t="s">
        <v>666</v>
      </c>
      <c r="G100" s="7" t="s">
        <v>396</v>
      </c>
      <c r="H100" s="7">
        <v>153</v>
      </c>
      <c r="I100" s="8">
        <v>45853.50203358796</v>
      </c>
      <c r="J100" s="8">
        <v>45853.50203358796</v>
      </c>
      <c r="K100" s="7" t="s">
        <v>397</v>
      </c>
      <c r="L100" s="7" t="s">
        <v>397</v>
      </c>
    </row>
    <row r="101" spans="1:12" x14ac:dyDescent="0.25">
      <c r="A101" s="7">
        <v>4</v>
      </c>
      <c r="B101" s="7">
        <v>3809</v>
      </c>
      <c r="C101" s="7">
        <v>100</v>
      </c>
      <c r="D101" s="7" t="s">
        <v>667</v>
      </c>
      <c r="E101" s="7" t="s">
        <v>326</v>
      </c>
      <c r="F101" s="7" t="s">
        <v>668</v>
      </c>
      <c r="G101" s="7" t="s">
        <v>396</v>
      </c>
      <c r="H101" s="7">
        <v>153</v>
      </c>
      <c r="I101" s="8">
        <v>45853.50203358796</v>
      </c>
      <c r="J101" s="8">
        <v>45853.50203358796</v>
      </c>
      <c r="K101" s="7" t="s">
        <v>397</v>
      </c>
      <c r="L101" s="7" t="s">
        <v>397</v>
      </c>
    </row>
    <row r="102" spans="1:12" x14ac:dyDescent="0.25">
      <c r="A102" s="7">
        <v>5</v>
      </c>
      <c r="B102" s="7">
        <v>8015</v>
      </c>
      <c r="C102" s="7">
        <v>24</v>
      </c>
      <c r="D102" s="7" t="s">
        <v>669</v>
      </c>
      <c r="E102" s="7" t="s">
        <v>670</v>
      </c>
      <c r="F102" s="7" t="s">
        <v>671</v>
      </c>
      <c r="G102" s="7" t="s">
        <v>396</v>
      </c>
      <c r="H102" s="7">
        <v>153</v>
      </c>
      <c r="I102" s="8">
        <v>45853.50203358796</v>
      </c>
      <c r="J102" s="8">
        <v>45853.50203358796</v>
      </c>
      <c r="K102" s="7" t="s">
        <v>397</v>
      </c>
      <c r="L102" s="7" t="s">
        <v>397</v>
      </c>
    </row>
    <row r="103" spans="1:12" x14ac:dyDescent="0.25">
      <c r="A103" s="7">
        <v>7</v>
      </c>
      <c r="B103" s="7">
        <v>4176</v>
      </c>
      <c r="C103" s="7">
        <v>24</v>
      </c>
      <c r="D103" s="7" t="s">
        <v>672</v>
      </c>
      <c r="E103" s="7" t="s">
        <v>340</v>
      </c>
      <c r="F103" s="7" t="s">
        <v>673</v>
      </c>
      <c r="G103" s="7" t="s">
        <v>396</v>
      </c>
      <c r="H103" s="7">
        <v>153</v>
      </c>
      <c r="I103" s="8">
        <v>45853.50203358796</v>
      </c>
      <c r="J103" s="8">
        <v>45853.50203358796</v>
      </c>
      <c r="K103" s="7" t="s">
        <v>397</v>
      </c>
      <c r="L103" s="7" t="s">
        <v>397</v>
      </c>
    </row>
    <row r="104" spans="1:12" x14ac:dyDescent="0.25">
      <c r="A104" s="7">
        <v>11</v>
      </c>
      <c r="B104" s="7">
        <v>6394</v>
      </c>
      <c r="C104" s="7">
        <v>39</v>
      </c>
      <c r="D104" s="7" t="s">
        <v>674</v>
      </c>
      <c r="E104" s="7" t="s">
        <v>675</v>
      </c>
      <c r="F104" s="7" t="s">
        <v>676</v>
      </c>
      <c r="G104" s="7" t="s">
        <v>396</v>
      </c>
      <c r="H104" s="7">
        <v>153</v>
      </c>
      <c r="I104" s="8">
        <v>45853.50203358796</v>
      </c>
      <c r="J104" s="8">
        <v>45853.50203358796</v>
      </c>
      <c r="K104" s="7" t="s">
        <v>397</v>
      </c>
      <c r="L104" s="7" t="s">
        <v>397</v>
      </c>
    </row>
    <row r="105" spans="1:12" x14ac:dyDescent="0.25">
      <c r="A105" s="7">
        <v>13</v>
      </c>
      <c r="B105" s="7">
        <v>4055</v>
      </c>
      <c r="C105" s="7">
        <v>45</v>
      </c>
      <c r="D105" s="7" t="s">
        <v>677</v>
      </c>
      <c r="E105" s="7" t="s">
        <v>678</v>
      </c>
      <c r="F105" s="7" t="s">
        <v>679</v>
      </c>
      <c r="G105" s="7" t="s">
        <v>396</v>
      </c>
      <c r="H105" s="7">
        <v>153</v>
      </c>
      <c r="I105" s="8">
        <v>45853.50203358796</v>
      </c>
      <c r="J105" s="8">
        <v>45853.50203358796</v>
      </c>
      <c r="K105" s="7" t="s">
        <v>397</v>
      </c>
      <c r="L105" s="7" t="s">
        <v>397</v>
      </c>
    </row>
    <row r="106" spans="1:12" x14ac:dyDescent="0.25">
      <c r="A106" s="7">
        <v>14</v>
      </c>
      <c r="B106" s="7">
        <v>4834</v>
      </c>
      <c r="C106" s="7">
        <v>100</v>
      </c>
      <c r="D106" s="7" t="s">
        <v>680</v>
      </c>
      <c r="E106" s="7" t="s">
        <v>322</v>
      </c>
      <c r="F106" s="7" t="s">
        <v>681</v>
      </c>
      <c r="G106" s="7" t="s">
        <v>396</v>
      </c>
      <c r="H106" s="7">
        <v>153</v>
      </c>
      <c r="I106" s="8">
        <v>45853.50203358796</v>
      </c>
      <c r="J106" s="8">
        <v>45853.50203358796</v>
      </c>
      <c r="K106" s="7" t="s">
        <v>397</v>
      </c>
      <c r="L106" s="7" t="s">
        <v>397</v>
      </c>
    </row>
    <row r="107" spans="1:12" x14ac:dyDescent="0.25">
      <c r="A107" s="7">
        <v>16</v>
      </c>
      <c r="B107" s="7">
        <v>2221</v>
      </c>
      <c r="C107" s="7">
        <v>107</v>
      </c>
      <c r="D107" s="7" t="s">
        <v>682</v>
      </c>
      <c r="E107" s="7" t="s">
        <v>683</v>
      </c>
      <c r="F107" s="7" t="s">
        <v>684</v>
      </c>
      <c r="G107" s="7" t="s">
        <v>396</v>
      </c>
      <c r="H107" s="7">
        <v>153</v>
      </c>
      <c r="I107" s="8">
        <v>45853.50203358796</v>
      </c>
      <c r="J107" s="8">
        <v>45853.50203358796</v>
      </c>
      <c r="K107" s="7" t="s">
        <v>397</v>
      </c>
      <c r="L107" s="7" t="s">
        <v>397</v>
      </c>
    </row>
    <row r="108" spans="1:12" x14ac:dyDescent="0.25">
      <c r="A108" s="7">
        <v>24</v>
      </c>
      <c r="B108" s="7">
        <v>7303</v>
      </c>
      <c r="C108" s="7">
        <v>39</v>
      </c>
      <c r="D108" s="7" t="s">
        <v>685</v>
      </c>
      <c r="E108" s="7" t="s">
        <v>686</v>
      </c>
      <c r="F108" s="7" t="s">
        <v>687</v>
      </c>
      <c r="G108" s="7" t="s">
        <v>396</v>
      </c>
      <c r="H108" s="7">
        <v>153</v>
      </c>
      <c r="I108" s="8">
        <v>45853.50203358796</v>
      </c>
      <c r="J108" s="8">
        <v>45853.50203358796</v>
      </c>
      <c r="K108" s="7" t="s">
        <v>397</v>
      </c>
      <c r="L108" s="7" t="s">
        <v>397</v>
      </c>
    </row>
    <row r="109" spans="1:12" x14ac:dyDescent="0.25">
      <c r="A109" s="7">
        <v>27</v>
      </c>
      <c r="B109" s="7">
        <v>6005</v>
      </c>
      <c r="C109" s="7">
        <v>26</v>
      </c>
      <c r="D109" s="7" t="s">
        <v>688</v>
      </c>
      <c r="E109" s="7" t="s">
        <v>689</v>
      </c>
      <c r="F109" s="7" t="s">
        <v>690</v>
      </c>
      <c r="G109" s="7" t="s">
        <v>396</v>
      </c>
      <c r="H109" s="7">
        <v>153</v>
      </c>
      <c r="I109" s="8">
        <v>45853.50203358796</v>
      </c>
      <c r="J109" s="8">
        <v>45853.50203358796</v>
      </c>
      <c r="K109" s="7" t="s">
        <v>397</v>
      </c>
      <c r="L109" s="7" t="s">
        <v>397</v>
      </c>
    </row>
    <row r="110" spans="1:12" x14ac:dyDescent="0.25">
      <c r="A110" s="7">
        <v>29</v>
      </c>
      <c r="B110" s="7">
        <v>4252</v>
      </c>
      <c r="C110" s="7">
        <v>19</v>
      </c>
      <c r="D110" s="7" t="s">
        <v>691</v>
      </c>
      <c r="E110" s="7" t="s">
        <v>298</v>
      </c>
      <c r="F110" s="7" t="s">
        <v>692</v>
      </c>
      <c r="G110" s="7" t="s">
        <v>396</v>
      </c>
      <c r="H110" s="7">
        <v>153</v>
      </c>
      <c r="I110" s="8">
        <v>45853.50203358796</v>
      </c>
      <c r="J110" s="8">
        <v>45853.50203358796</v>
      </c>
      <c r="K110" s="7" t="s">
        <v>397</v>
      </c>
      <c r="L110" s="7" t="s">
        <v>397</v>
      </c>
    </row>
    <row r="111" spans="1:12" x14ac:dyDescent="0.25">
      <c r="A111" s="7">
        <v>31</v>
      </c>
      <c r="B111" s="7">
        <v>4528</v>
      </c>
      <c r="C111" s="7">
        <v>52</v>
      </c>
      <c r="D111" s="7" t="s">
        <v>693</v>
      </c>
      <c r="E111" s="7" t="s">
        <v>694</v>
      </c>
      <c r="F111" s="7" t="s">
        <v>695</v>
      </c>
      <c r="G111" s="7" t="s">
        <v>396</v>
      </c>
      <c r="H111" s="7">
        <v>153</v>
      </c>
      <c r="I111" s="8">
        <v>45853.50203358796</v>
      </c>
      <c r="J111" s="8">
        <v>45853.50203358796</v>
      </c>
      <c r="K111" s="7" t="s">
        <v>397</v>
      </c>
      <c r="L111" s="7" t="s">
        <v>397</v>
      </c>
    </row>
    <row r="112" spans="1:12" x14ac:dyDescent="0.25">
      <c r="A112" s="7">
        <v>33</v>
      </c>
      <c r="B112" s="7">
        <v>7264</v>
      </c>
      <c r="C112" s="7">
        <v>45</v>
      </c>
      <c r="D112" s="7" t="s">
        <v>696</v>
      </c>
      <c r="E112" s="7" t="s">
        <v>697</v>
      </c>
      <c r="F112" s="7" t="s">
        <v>698</v>
      </c>
      <c r="G112" s="7" t="s">
        <v>396</v>
      </c>
      <c r="H112" s="7">
        <v>153</v>
      </c>
      <c r="I112" s="8">
        <v>45853.50203358796</v>
      </c>
      <c r="J112" s="8">
        <v>45853.50203358796</v>
      </c>
      <c r="K112" s="7" t="s">
        <v>397</v>
      </c>
      <c r="L112" s="7" t="s">
        <v>397</v>
      </c>
    </row>
    <row r="113" spans="1:12" x14ac:dyDescent="0.25">
      <c r="A113" s="7">
        <v>34</v>
      </c>
      <c r="B113" s="7">
        <v>6241</v>
      </c>
      <c r="C113" s="7">
        <v>39</v>
      </c>
      <c r="D113" s="7" t="s">
        <v>699</v>
      </c>
      <c r="E113" s="7" t="s">
        <v>700</v>
      </c>
      <c r="F113" s="7" t="s">
        <v>701</v>
      </c>
      <c r="G113" s="7" t="s">
        <v>396</v>
      </c>
      <c r="H113" s="7">
        <v>153</v>
      </c>
      <c r="I113" s="8">
        <v>45853.50203358796</v>
      </c>
      <c r="J113" s="8">
        <v>45853.50203358796</v>
      </c>
      <c r="K113" s="7" t="s">
        <v>397</v>
      </c>
      <c r="L113" s="7" t="s">
        <v>397</v>
      </c>
    </row>
    <row r="114" spans="1:12" x14ac:dyDescent="0.25">
      <c r="A114" s="7">
        <v>41</v>
      </c>
      <c r="B114" s="7">
        <v>3161</v>
      </c>
      <c r="C114" s="7">
        <v>39</v>
      </c>
      <c r="D114" s="7" t="s">
        <v>702</v>
      </c>
      <c r="E114" s="7" t="s">
        <v>703</v>
      </c>
      <c r="F114" s="7" t="s">
        <v>704</v>
      </c>
      <c r="G114" s="7" t="s">
        <v>396</v>
      </c>
      <c r="H114" s="7">
        <v>153</v>
      </c>
      <c r="I114" s="8">
        <v>45853.50203358796</v>
      </c>
      <c r="J114" s="8">
        <v>45853.50203358796</v>
      </c>
      <c r="K114" s="7" t="s">
        <v>397</v>
      </c>
      <c r="L114" s="7" t="s">
        <v>397</v>
      </c>
    </row>
    <row r="115" spans="1:12" x14ac:dyDescent="0.25">
      <c r="A115" s="7">
        <v>43</v>
      </c>
      <c r="B115" s="7">
        <v>3830</v>
      </c>
      <c r="C115" s="7">
        <v>0</v>
      </c>
      <c r="D115" s="7" t="s">
        <v>705</v>
      </c>
      <c r="E115" s="7" t="s">
        <v>162</v>
      </c>
      <c r="F115" s="7" t="s">
        <v>706</v>
      </c>
      <c r="G115" s="7" t="s">
        <v>396</v>
      </c>
      <c r="H115" s="7">
        <v>153</v>
      </c>
      <c r="I115" s="8">
        <v>45853.50203358796</v>
      </c>
      <c r="J115" s="8">
        <v>45853.50203358796</v>
      </c>
      <c r="K115" s="7" t="s">
        <v>397</v>
      </c>
      <c r="L115" s="7" t="s">
        <v>397</v>
      </c>
    </row>
    <row r="116" spans="1:12" x14ac:dyDescent="0.25">
      <c r="A116" s="7">
        <v>44</v>
      </c>
      <c r="B116" s="7">
        <v>4323</v>
      </c>
      <c r="C116" s="7">
        <v>31</v>
      </c>
      <c r="D116" s="7" t="s">
        <v>707</v>
      </c>
      <c r="E116" s="7" t="s">
        <v>286</v>
      </c>
      <c r="F116" s="7" t="s">
        <v>708</v>
      </c>
      <c r="G116" s="7" t="s">
        <v>396</v>
      </c>
      <c r="H116" s="7">
        <v>153</v>
      </c>
      <c r="I116" s="8">
        <v>45853.50203358796</v>
      </c>
      <c r="J116" s="8">
        <v>45853.50203358796</v>
      </c>
      <c r="K116" s="7" t="s">
        <v>397</v>
      </c>
      <c r="L116" s="7" t="s">
        <v>397</v>
      </c>
    </row>
    <row r="117" spans="1:12" x14ac:dyDescent="0.25">
      <c r="A117" s="7">
        <v>45</v>
      </c>
      <c r="B117" s="7">
        <v>236</v>
      </c>
      <c r="C117" s="7">
        <v>39</v>
      </c>
      <c r="D117" s="7" t="s">
        <v>709</v>
      </c>
      <c r="E117" s="7" t="s">
        <v>710</v>
      </c>
      <c r="F117" s="7" t="s">
        <v>711</v>
      </c>
      <c r="G117" s="7" t="s">
        <v>396</v>
      </c>
      <c r="H117" s="7">
        <v>153</v>
      </c>
      <c r="I117" s="8">
        <v>45853.50203358796</v>
      </c>
      <c r="J117" s="8">
        <v>45853.50203358796</v>
      </c>
      <c r="K117" s="7" t="s">
        <v>397</v>
      </c>
      <c r="L117" s="7" t="s">
        <v>397</v>
      </c>
    </row>
    <row r="118" spans="1:12" x14ac:dyDescent="0.25">
      <c r="A118" s="7">
        <v>49</v>
      </c>
      <c r="B118" s="7">
        <v>5769</v>
      </c>
      <c r="C118" s="7">
        <v>26</v>
      </c>
      <c r="D118" s="7" t="s">
        <v>712</v>
      </c>
      <c r="E118" s="7" t="s">
        <v>713</v>
      </c>
      <c r="F118" s="7" t="s">
        <v>714</v>
      </c>
      <c r="G118" s="7" t="s">
        <v>396</v>
      </c>
      <c r="H118" s="7">
        <v>153</v>
      </c>
      <c r="I118" s="8">
        <v>45853.50203358796</v>
      </c>
      <c r="J118" s="8">
        <v>45853.50203358796</v>
      </c>
      <c r="K118" s="7" t="s">
        <v>397</v>
      </c>
      <c r="L118" s="7" t="s">
        <v>397</v>
      </c>
    </row>
    <row r="119" spans="1:12" x14ac:dyDescent="0.25">
      <c r="A119" s="7">
        <v>52</v>
      </c>
      <c r="B119" s="7">
        <v>2760</v>
      </c>
      <c r="C119" s="7">
        <v>31</v>
      </c>
      <c r="D119" s="7" t="s">
        <v>715</v>
      </c>
      <c r="E119" s="7" t="s">
        <v>716</v>
      </c>
      <c r="F119" s="7" t="s">
        <v>717</v>
      </c>
      <c r="G119" s="7" t="s">
        <v>396</v>
      </c>
      <c r="H119" s="7">
        <v>153</v>
      </c>
      <c r="I119" s="8">
        <v>45853.50203358796</v>
      </c>
      <c r="J119" s="8">
        <v>45853.50203358796</v>
      </c>
      <c r="K119" s="7" t="s">
        <v>397</v>
      </c>
      <c r="L119" s="7" t="s">
        <v>397</v>
      </c>
    </row>
    <row r="120" spans="1:12" x14ac:dyDescent="0.25">
      <c r="A120" s="7">
        <v>54</v>
      </c>
      <c r="B120" s="7">
        <v>4708</v>
      </c>
      <c r="C120" s="7">
        <v>0</v>
      </c>
      <c r="D120" s="7" t="s">
        <v>718</v>
      </c>
      <c r="E120" s="7" t="s">
        <v>333</v>
      </c>
      <c r="F120" s="7" t="s">
        <v>719</v>
      </c>
      <c r="G120" s="7" t="s">
        <v>396</v>
      </c>
      <c r="H120" s="7">
        <v>153</v>
      </c>
      <c r="I120" s="8">
        <v>45853.50203358796</v>
      </c>
      <c r="J120" s="8">
        <v>45853.50203358796</v>
      </c>
      <c r="K120" s="7" t="s">
        <v>397</v>
      </c>
      <c r="L120" s="7" t="s">
        <v>397</v>
      </c>
    </row>
    <row r="121" spans="1:12" x14ac:dyDescent="0.25">
      <c r="A121" s="7">
        <v>56</v>
      </c>
      <c r="B121" s="7">
        <v>1948</v>
      </c>
      <c r="C121" s="7">
        <v>52</v>
      </c>
      <c r="D121" s="7" t="s">
        <v>720</v>
      </c>
      <c r="E121" s="7" t="s">
        <v>721</v>
      </c>
      <c r="F121" s="7" t="s">
        <v>722</v>
      </c>
      <c r="G121" s="7" t="s">
        <v>396</v>
      </c>
      <c r="H121" s="7">
        <v>153</v>
      </c>
      <c r="I121" s="8">
        <v>45853.50203358796</v>
      </c>
      <c r="J121" s="8">
        <v>45853.50203358796</v>
      </c>
      <c r="K121" s="7" t="s">
        <v>397</v>
      </c>
      <c r="L121" s="7" t="s">
        <v>397</v>
      </c>
    </row>
    <row r="122" spans="1:12" x14ac:dyDescent="0.25">
      <c r="A122" s="7">
        <v>58</v>
      </c>
      <c r="B122" s="7">
        <v>7861</v>
      </c>
      <c r="C122" s="7">
        <v>39</v>
      </c>
      <c r="D122" s="7" t="s">
        <v>723</v>
      </c>
      <c r="E122" s="7" t="s">
        <v>724</v>
      </c>
      <c r="F122" s="7" t="s">
        <v>725</v>
      </c>
      <c r="G122" s="7" t="s">
        <v>396</v>
      </c>
      <c r="H122" s="7">
        <v>153</v>
      </c>
      <c r="I122" s="8">
        <v>45853.50203358796</v>
      </c>
      <c r="J122" s="8">
        <v>45853.50203358796</v>
      </c>
      <c r="K122" s="7" t="s">
        <v>397</v>
      </c>
      <c r="L122" s="7" t="s">
        <v>397</v>
      </c>
    </row>
    <row r="123" spans="1:12" x14ac:dyDescent="0.25">
      <c r="A123" s="7">
        <v>59</v>
      </c>
      <c r="B123" s="7">
        <v>42</v>
      </c>
      <c r="C123" s="7">
        <v>0</v>
      </c>
      <c r="D123" s="7" t="s">
        <v>726</v>
      </c>
      <c r="E123" s="7" t="s">
        <v>16</v>
      </c>
      <c r="F123" s="7" t="s">
        <v>727</v>
      </c>
      <c r="G123" s="7" t="s">
        <v>396</v>
      </c>
      <c r="H123" s="7">
        <v>153</v>
      </c>
      <c r="I123" s="8">
        <v>45853.50203358796</v>
      </c>
      <c r="J123" s="8">
        <v>45853.50203358796</v>
      </c>
      <c r="K123" s="7" t="s">
        <v>397</v>
      </c>
      <c r="L123" s="7" t="s">
        <v>397</v>
      </c>
    </row>
    <row r="124" spans="1:12" x14ac:dyDescent="0.25">
      <c r="A124" s="7">
        <v>60</v>
      </c>
      <c r="B124" s="7">
        <v>3033</v>
      </c>
      <c r="C124" s="7">
        <v>0</v>
      </c>
      <c r="D124" s="7" t="s">
        <v>728</v>
      </c>
      <c r="E124" s="7" t="s">
        <v>71</v>
      </c>
      <c r="F124" s="7" t="s">
        <v>729</v>
      </c>
      <c r="G124" s="7" t="s">
        <v>396</v>
      </c>
      <c r="H124" s="7">
        <v>153</v>
      </c>
      <c r="I124" s="8">
        <v>45853.50203358796</v>
      </c>
      <c r="J124" s="8">
        <v>45853.50203358796</v>
      </c>
      <c r="K124" s="7" t="s">
        <v>397</v>
      </c>
      <c r="L124" s="7" t="s">
        <v>397</v>
      </c>
    </row>
    <row r="125" spans="1:12" x14ac:dyDescent="0.25">
      <c r="A125" s="7">
        <v>73</v>
      </c>
      <c r="B125" s="7">
        <v>1983289</v>
      </c>
      <c r="C125" s="7">
        <v>26</v>
      </c>
      <c r="D125" s="7" t="s">
        <v>730</v>
      </c>
      <c r="E125" s="7" t="s">
        <v>731</v>
      </c>
      <c r="F125" s="7" t="s">
        <v>732</v>
      </c>
      <c r="G125" s="7" t="s">
        <v>396</v>
      </c>
      <c r="H125" s="7">
        <v>153</v>
      </c>
      <c r="I125" s="8">
        <v>45853.50203358796</v>
      </c>
      <c r="J125" s="8">
        <v>45853.50203358796</v>
      </c>
      <c r="K125" s="7" t="s">
        <v>397</v>
      </c>
      <c r="L125" s="7" t="s">
        <v>397</v>
      </c>
    </row>
    <row r="126" spans="1:12" x14ac:dyDescent="0.25">
      <c r="A126" s="7">
        <v>76</v>
      </c>
      <c r="B126" s="7">
        <v>3120</v>
      </c>
      <c r="C126" s="7">
        <v>45</v>
      </c>
      <c r="D126" s="7" t="s">
        <v>733</v>
      </c>
      <c r="E126" s="7" t="s">
        <v>734</v>
      </c>
      <c r="F126" s="7" t="s">
        <v>735</v>
      </c>
      <c r="G126" s="7" t="s">
        <v>396</v>
      </c>
      <c r="H126" s="7">
        <v>153</v>
      </c>
      <c r="I126" s="8">
        <v>45853.50203358796</v>
      </c>
      <c r="J126" s="8">
        <v>45853.50203358796</v>
      </c>
      <c r="K126" s="7" t="s">
        <v>397</v>
      </c>
      <c r="L126" s="7" t="s">
        <v>397</v>
      </c>
    </row>
    <row r="127" spans="1:12" x14ac:dyDescent="0.25">
      <c r="A127" s="7">
        <v>78</v>
      </c>
      <c r="B127" s="7">
        <v>8134</v>
      </c>
      <c r="C127" s="7">
        <v>26</v>
      </c>
      <c r="D127" s="7" t="s">
        <v>736</v>
      </c>
      <c r="E127" s="7" t="s">
        <v>737</v>
      </c>
      <c r="F127" s="7" t="s">
        <v>738</v>
      </c>
      <c r="G127" s="7" t="s">
        <v>396</v>
      </c>
      <c r="H127" s="7">
        <v>153</v>
      </c>
      <c r="I127" s="8">
        <v>45853.50203358796</v>
      </c>
      <c r="J127" s="8">
        <v>45853.50203358796</v>
      </c>
      <c r="K127" s="7" t="s">
        <v>397</v>
      </c>
      <c r="L127" s="7" t="s">
        <v>397</v>
      </c>
    </row>
    <row r="128" spans="1:12" x14ac:dyDescent="0.25">
      <c r="A128" s="7">
        <v>81</v>
      </c>
      <c r="B128" s="7">
        <v>6417</v>
      </c>
      <c r="C128" s="7">
        <v>45</v>
      </c>
      <c r="D128" s="7" t="s">
        <v>739</v>
      </c>
      <c r="E128" s="7" t="s">
        <v>740</v>
      </c>
      <c r="F128" s="7" t="s">
        <v>741</v>
      </c>
      <c r="G128" s="7" t="s">
        <v>396</v>
      </c>
      <c r="H128" s="7">
        <v>153</v>
      </c>
      <c r="I128" s="8">
        <v>45853.50203358796</v>
      </c>
      <c r="J128" s="8">
        <v>45853.50203358796</v>
      </c>
      <c r="K128" s="7" t="s">
        <v>397</v>
      </c>
      <c r="L128" s="7" t="s">
        <v>397</v>
      </c>
    </row>
    <row r="129" spans="1:12" x14ac:dyDescent="0.25">
      <c r="A129" s="7">
        <v>88</v>
      </c>
      <c r="B129" s="7">
        <v>7533</v>
      </c>
      <c r="C129" s="7">
        <v>26</v>
      </c>
      <c r="D129" s="7" t="s">
        <v>742</v>
      </c>
      <c r="E129" s="7" t="s">
        <v>743</v>
      </c>
      <c r="F129" s="7" t="s">
        <v>744</v>
      </c>
      <c r="G129" s="7" t="s">
        <v>396</v>
      </c>
      <c r="H129" s="7">
        <v>153</v>
      </c>
      <c r="I129" s="8">
        <v>45853.50203358796</v>
      </c>
      <c r="J129" s="8">
        <v>45853.50203358796</v>
      </c>
      <c r="K129" s="7" t="s">
        <v>397</v>
      </c>
      <c r="L129" s="7" t="s">
        <v>397</v>
      </c>
    </row>
    <row r="130" spans="1:12" x14ac:dyDescent="0.25">
      <c r="A130" s="7">
        <v>94</v>
      </c>
      <c r="B130" s="7">
        <v>2872</v>
      </c>
      <c r="C130" s="7">
        <v>45</v>
      </c>
      <c r="D130" s="7" t="s">
        <v>745</v>
      </c>
      <c r="E130" s="7" t="s">
        <v>746</v>
      </c>
      <c r="F130" s="7" t="s">
        <v>747</v>
      </c>
      <c r="G130" s="7" t="s">
        <v>396</v>
      </c>
      <c r="H130" s="7">
        <v>153</v>
      </c>
      <c r="I130" s="8">
        <v>45853.50203358796</v>
      </c>
      <c r="J130" s="8">
        <v>45853.50203358796</v>
      </c>
      <c r="K130" s="7" t="s">
        <v>397</v>
      </c>
      <c r="L130" s="7" t="s">
        <v>397</v>
      </c>
    </row>
    <row r="131" spans="1:12" x14ac:dyDescent="0.25">
      <c r="A131" s="7">
        <v>98</v>
      </c>
      <c r="B131" s="7">
        <v>1498</v>
      </c>
      <c r="C131" s="7">
        <v>39</v>
      </c>
      <c r="D131" s="7" t="s">
        <v>748</v>
      </c>
      <c r="E131" s="7" t="s">
        <v>749</v>
      </c>
      <c r="F131" s="7" t="s">
        <v>750</v>
      </c>
      <c r="G131" s="7" t="s">
        <v>396</v>
      </c>
      <c r="H131" s="7">
        <v>153</v>
      </c>
      <c r="I131" s="8">
        <v>45853.50203358796</v>
      </c>
      <c r="J131" s="8">
        <v>45853.50203358796</v>
      </c>
      <c r="K131" s="7" t="s">
        <v>397</v>
      </c>
      <c r="L131" s="7" t="s">
        <v>397</v>
      </c>
    </row>
    <row r="132" spans="1:12" x14ac:dyDescent="0.25">
      <c r="A132" s="7">
        <v>99</v>
      </c>
      <c r="B132" s="7">
        <v>3643</v>
      </c>
      <c r="C132" s="7">
        <v>0</v>
      </c>
      <c r="D132" s="7" t="s">
        <v>751</v>
      </c>
      <c r="E132" s="7" t="s">
        <v>52</v>
      </c>
      <c r="F132" s="7" t="s">
        <v>752</v>
      </c>
      <c r="G132" s="7" t="s">
        <v>396</v>
      </c>
      <c r="H132" s="7">
        <v>153</v>
      </c>
      <c r="I132" s="8">
        <v>45853.50203358796</v>
      </c>
      <c r="J132" s="8">
        <v>45853.50203358796</v>
      </c>
      <c r="K132" s="7" t="s">
        <v>397</v>
      </c>
      <c r="L132" s="7" t="s">
        <v>397</v>
      </c>
    </row>
    <row r="133" spans="1:12" x14ac:dyDescent="0.25">
      <c r="A133" s="7">
        <v>102</v>
      </c>
      <c r="B133" s="7">
        <v>4168</v>
      </c>
      <c r="C133" s="7">
        <v>26</v>
      </c>
      <c r="D133" s="7" t="s">
        <v>753</v>
      </c>
      <c r="E133" s="7" t="s">
        <v>754</v>
      </c>
      <c r="F133" s="7" t="s">
        <v>755</v>
      </c>
      <c r="G133" s="7" t="s">
        <v>396</v>
      </c>
      <c r="H133" s="7">
        <v>153</v>
      </c>
      <c r="I133" s="8">
        <v>45853.50203358796</v>
      </c>
      <c r="J133" s="8">
        <v>45853.50203358796</v>
      </c>
      <c r="K133" s="7" t="s">
        <v>397</v>
      </c>
      <c r="L133" s="7" t="s">
        <v>397</v>
      </c>
    </row>
    <row r="134" spans="1:12" x14ac:dyDescent="0.25">
      <c r="A134" s="7">
        <v>103</v>
      </c>
      <c r="B134" s="7">
        <v>4255</v>
      </c>
      <c r="C134" s="7">
        <v>45</v>
      </c>
      <c r="D134" s="7" t="s">
        <v>756</v>
      </c>
      <c r="E134" s="7" t="s">
        <v>757</v>
      </c>
      <c r="F134" s="7" t="s">
        <v>758</v>
      </c>
      <c r="G134" s="7" t="s">
        <v>396</v>
      </c>
      <c r="H134" s="7">
        <v>153</v>
      </c>
      <c r="I134" s="8">
        <v>45853.50203358796</v>
      </c>
      <c r="J134" s="8">
        <v>45853.50203358796</v>
      </c>
      <c r="K134" s="7" t="s">
        <v>397</v>
      </c>
      <c r="L134" s="7" t="s">
        <v>397</v>
      </c>
    </row>
    <row r="135" spans="1:12" x14ac:dyDescent="0.25">
      <c r="A135" s="7">
        <v>108</v>
      </c>
      <c r="B135" s="7">
        <v>5981</v>
      </c>
      <c r="C135" s="7">
        <v>39</v>
      </c>
      <c r="D135" s="7" t="s">
        <v>759</v>
      </c>
      <c r="E135" s="7" t="s">
        <v>760</v>
      </c>
      <c r="F135" s="7" t="s">
        <v>761</v>
      </c>
      <c r="G135" s="7" t="s">
        <v>396</v>
      </c>
      <c r="H135" s="7">
        <v>153</v>
      </c>
      <c r="I135" s="8">
        <v>45853.50203358796</v>
      </c>
      <c r="J135" s="8">
        <v>45853.50203358796</v>
      </c>
      <c r="K135" s="7" t="s">
        <v>397</v>
      </c>
      <c r="L135" s="7" t="s">
        <v>397</v>
      </c>
    </row>
    <row r="136" spans="1:12" x14ac:dyDescent="0.25">
      <c r="A136" s="7">
        <v>113</v>
      </c>
      <c r="B136" s="7">
        <v>5638</v>
      </c>
      <c r="C136" s="7">
        <v>0</v>
      </c>
      <c r="D136" s="7" t="s">
        <v>762</v>
      </c>
      <c r="E136" s="7" t="s">
        <v>763</v>
      </c>
      <c r="F136" s="7" t="s">
        <v>764</v>
      </c>
      <c r="G136" s="7" t="s">
        <v>396</v>
      </c>
      <c r="H136" s="7">
        <v>153</v>
      </c>
      <c r="I136" s="8">
        <v>45853.50203358796</v>
      </c>
      <c r="J136" s="8">
        <v>45853.50203358796</v>
      </c>
      <c r="K136" s="7" t="s">
        <v>397</v>
      </c>
      <c r="L136" s="7" t="s">
        <v>397</v>
      </c>
    </row>
    <row r="137" spans="1:12" x14ac:dyDescent="0.25">
      <c r="A137" s="7">
        <v>114</v>
      </c>
      <c r="B137" s="7">
        <v>4869</v>
      </c>
      <c r="C137" s="7">
        <v>101</v>
      </c>
      <c r="D137" s="7" t="s">
        <v>765</v>
      </c>
      <c r="E137" s="7" t="s">
        <v>124</v>
      </c>
      <c r="F137" s="7" t="s">
        <v>766</v>
      </c>
      <c r="G137" s="7" t="s">
        <v>396</v>
      </c>
      <c r="H137" s="7">
        <v>153</v>
      </c>
      <c r="I137" s="8">
        <v>45853.50203358796</v>
      </c>
      <c r="J137" s="8">
        <v>45853.50203358796</v>
      </c>
      <c r="K137" s="7" t="s">
        <v>397</v>
      </c>
      <c r="L137" s="7" t="s">
        <v>397</v>
      </c>
    </row>
    <row r="138" spans="1:12" x14ac:dyDescent="0.25">
      <c r="A138" s="7">
        <v>120</v>
      </c>
      <c r="B138" s="7">
        <v>5963</v>
      </c>
      <c r="C138" s="7">
        <v>33</v>
      </c>
      <c r="D138" s="7" t="s">
        <v>767</v>
      </c>
      <c r="E138" s="7" t="s">
        <v>768</v>
      </c>
      <c r="F138" s="7" t="s">
        <v>769</v>
      </c>
      <c r="G138" s="7" t="s">
        <v>396</v>
      </c>
      <c r="H138" s="7">
        <v>153</v>
      </c>
      <c r="I138" s="8">
        <v>45853.50203358796</v>
      </c>
      <c r="J138" s="8">
        <v>45853.50203358796</v>
      </c>
      <c r="K138" s="7" t="s">
        <v>397</v>
      </c>
      <c r="L138" s="7" t="s">
        <v>397</v>
      </c>
    </row>
    <row r="139" spans="1:12" x14ac:dyDescent="0.25">
      <c r="A139" s="7">
        <v>122</v>
      </c>
      <c r="B139" s="7">
        <v>3616658</v>
      </c>
      <c r="C139" s="7">
        <v>29</v>
      </c>
      <c r="D139" s="7" t="s">
        <v>770</v>
      </c>
      <c r="E139" s="7" t="s">
        <v>771</v>
      </c>
      <c r="F139" s="7" t="s">
        <v>772</v>
      </c>
      <c r="G139" s="7" t="s">
        <v>396</v>
      </c>
      <c r="H139" s="7">
        <v>153</v>
      </c>
      <c r="I139" s="8">
        <v>45853.50203358796</v>
      </c>
      <c r="J139" s="8">
        <v>45853.50203358796</v>
      </c>
      <c r="K139" s="7" t="s">
        <v>397</v>
      </c>
      <c r="L139" s="7" t="s">
        <v>397</v>
      </c>
    </row>
    <row r="140" spans="1:12" x14ac:dyDescent="0.25">
      <c r="A140" s="7">
        <v>125</v>
      </c>
      <c r="B140" s="7">
        <v>5992</v>
      </c>
      <c r="C140" s="7">
        <v>45</v>
      </c>
      <c r="D140" s="7" t="s">
        <v>773</v>
      </c>
      <c r="E140" s="7" t="s">
        <v>774</v>
      </c>
      <c r="F140" s="7" t="s">
        <v>775</v>
      </c>
      <c r="G140" s="7" t="s">
        <v>396</v>
      </c>
      <c r="H140" s="7">
        <v>153</v>
      </c>
      <c r="I140" s="8">
        <v>45853.50203358796</v>
      </c>
      <c r="J140" s="8">
        <v>45853.50203358796</v>
      </c>
      <c r="K140" s="7" t="s">
        <v>397</v>
      </c>
      <c r="L140" s="7" t="s">
        <v>397</v>
      </c>
    </row>
    <row r="141" spans="1:12" x14ac:dyDescent="0.25">
      <c r="A141" s="7">
        <v>127</v>
      </c>
      <c r="B141" s="7">
        <v>1601</v>
      </c>
      <c r="C141" s="7">
        <v>26</v>
      </c>
      <c r="D141" s="7" t="s">
        <v>776</v>
      </c>
      <c r="E141" s="7" t="s">
        <v>777</v>
      </c>
      <c r="F141" s="7" t="s">
        <v>778</v>
      </c>
      <c r="G141" s="7" t="s">
        <v>396</v>
      </c>
      <c r="H141" s="7">
        <v>153</v>
      </c>
      <c r="I141" s="8">
        <v>45853.50203358796</v>
      </c>
      <c r="J141" s="8">
        <v>45853.50203358796</v>
      </c>
      <c r="K141" s="7" t="s">
        <v>397</v>
      </c>
      <c r="L141" s="7" t="s">
        <v>397</v>
      </c>
    </row>
    <row r="142" spans="1:12" x14ac:dyDescent="0.25">
      <c r="A142" s="7">
        <v>130</v>
      </c>
      <c r="B142" s="7">
        <v>2876</v>
      </c>
      <c r="C142" s="7">
        <v>50</v>
      </c>
      <c r="D142" s="7" t="s">
        <v>779</v>
      </c>
      <c r="E142" s="7" t="s">
        <v>780</v>
      </c>
      <c r="F142" s="7" t="s">
        <v>781</v>
      </c>
      <c r="G142" s="7" t="s">
        <v>396</v>
      </c>
      <c r="H142" s="7">
        <v>153</v>
      </c>
      <c r="I142" s="8">
        <v>45853.50203358796</v>
      </c>
      <c r="J142" s="8">
        <v>45853.50203358796</v>
      </c>
      <c r="K142" s="7" t="s">
        <v>397</v>
      </c>
      <c r="L142" s="7" t="s">
        <v>397</v>
      </c>
    </row>
    <row r="143" spans="1:12" x14ac:dyDescent="0.25">
      <c r="A143" s="7">
        <v>135</v>
      </c>
      <c r="B143" s="7">
        <v>2849</v>
      </c>
      <c r="C143" s="7">
        <v>45</v>
      </c>
      <c r="D143" s="7" t="s">
        <v>782</v>
      </c>
      <c r="E143" s="7" t="s">
        <v>783</v>
      </c>
      <c r="F143" s="7" t="s">
        <v>784</v>
      </c>
      <c r="G143" s="7" t="s">
        <v>396</v>
      </c>
      <c r="H143" s="7">
        <v>153</v>
      </c>
      <c r="I143" s="8">
        <v>45853.50203358796</v>
      </c>
      <c r="J143" s="8">
        <v>45853.50203358796</v>
      </c>
      <c r="K143" s="7" t="s">
        <v>397</v>
      </c>
      <c r="L143" s="7" t="s">
        <v>397</v>
      </c>
    </row>
    <row r="144" spans="1:12" x14ac:dyDescent="0.25">
      <c r="A144" s="7">
        <v>137</v>
      </c>
      <c r="B144" s="7">
        <v>6101</v>
      </c>
      <c r="C144" s="7">
        <v>39</v>
      </c>
      <c r="D144" s="7" t="s">
        <v>785</v>
      </c>
      <c r="E144" s="7" t="s">
        <v>786</v>
      </c>
      <c r="F144" s="7" t="s">
        <v>787</v>
      </c>
      <c r="G144" s="7" t="s">
        <v>396</v>
      </c>
      <c r="H144" s="7">
        <v>153</v>
      </c>
      <c r="I144" s="8">
        <v>45853.50203358796</v>
      </c>
      <c r="J144" s="8">
        <v>45853.50203358796</v>
      </c>
      <c r="K144" s="7" t="s">
        <v>397</v>
      </c>
      <c r="L144" s="7" t="s">
        <v>397</v>
      </c>
    </row>
    <row r="145" spans="1:12" x14ac:dyDescent="0.25">
      <c r="A145" s="7">
        <v>139</v>
      </c>
      <c r="B145" s="7">
        <v>3497</v>
      </c>
      <c r="C145" s="7">
        <v>39</v>
      </c>
      <c r="D145" s="7" t="s">
        <v>788</v>
      </c>
      <c r="E145" s="7" t="s">
        <v>789</v>
      </c>
      <c r="F145" s="7" t="s">
        <v>790</v>
      </c>
      <c r="G145" s="7" t="s">
        <v>396</v>
      </c>
      <c r="H145" s="7">
        <v>153</v>
      </c>
      <c r="I145" s="8">
        <v>45853.50203358796</v>
      </c>
      <c r="J145" s="8">
        <v>45853.50203358796</v>
      </c>
      <c r="K145" s="7" t="s">
        <v>397</v>
      </c>
      <c r="L145" s="7" t="s">
        <v>397</v>
      </c>
    </row>
    <row r="146" spans="1:12" x14ac:dyDescent="0.25">
      <c r="A146" s="7">
        <v>144</v>
      </c>
      <c r="B146" s="7">
        <v>2301651</v>
      </c>
      <c r="C146" s="7">
        <v>39</v>
      </c>
      <c r="D146" s="7" t="s">
        <v>791</v>
      </c>
      <c r="E146" s="7" t="s">
        <v>792</v>
      </c>
      <c r="F146" s="7" t="s">
        <v>793</v>
      </c>
      <c r="G146" s="7" t="s">
        <v>396</v>
      </c>
      <c r="H146" s="7">
        <v>153</v>
      </c>
      <c r="I146" s="8">
        <v>45853.50203358796</v>
      </c>
      <c r="J146" s="8">
        <v>45853.50203358796</v>
      </c>
      <c r="K146" s="7" t="s">
        <v>397</v>
      </c>
      <c r="L146" s="7" t="s">
        <v>397</v>
      </c>
    </row>
    <row r="147" spans="1:12" x14ac:dyDescent="0.25">
      <c r="A147" s="7">
        <v>145</v>
      </c>
      <c r="B147" s="7">
        <v>2337822</v>
      </c>
      <c r="C147" s="7">
        <v>39</v>
      </c>
      <c r="D147" s="7" t="s">
        <v>794</v>
      </c>
      <c r="E147" s="7" t="s">
        <v>795</v>
      </c>
      <c r="F147" s="7" t="s">
        <v>796</v>
      </c>
      <c r="G147" s="7" t="s">
        <v>396</v>
      </c>
      <c r="H147" s="7">
        <v>153</v>
      </c>
      <c r="I147" s="8">
        <v>45853.50203358796</v>
      </c>
      <c r="J147" s="8">
        <v>45853.50203358796</v>
      </c>
      <c r="K147" s="7" t="s">
        <v>397</v>
      </c>
      <c r="L147" s="7" t="s">
        <v>397</v>
      </c>
    </row>
    <row r="148" spans="1:12" x14ac:dyDescent="0.25">
      <c r="A148" s="7">
        <v>146</v>
      </c>
      <c r="B148" s="7">
        <v>5293123</v>
      </c>
      <c r="C148" s="7">
        <v>98</v>
      </c>
      <c r="D148" s="7" t="s">
        <v>797</v>
      </c>
      <c r="E148" s="7" t="s">
        <v>798</v>
      </c>
      <c r="F148" s="7" t="s">
        <v>799</v>
      </c>
      <c r="G148" s="7" t="s">
        <v>396</v>
      </c>
      <c r="H148" s="7">
        <v>153</v>
      </c>
      <c r="I148" s="8">
        <v>45853.50203358796</v>
      </c>
      <c r="J148" s="8">
        <v>45853.50203358796</v>
      </c>
      <c r="K148" s="7" t="s">
        <v>397</v>
      </c>
      <c r="L148" s="7" t="s">
        <v>397</v>
      </c>
    </row>
    <row r="149" spans="1:12" x14ac:dyDescent="0.25">
      <c r="A149" s="7">
        <v>148</v>
      </c>
      <c r="B149" s="7">
        <v>6862130</v>
      </c>
      <c r="C149" s="7">
        <v>39</v>
      </c>
      <c r="D149" s="7" t="s">
        <v>800</v>
      </c>
      <c r="E149" s="7" t="s">
        <v>801</v>
      </c>
      <c r="F149" s="7" t="s">
        <v>802</v>
      </c>
      <c r="G149" s="7" t="s">
        <v>396</v>
      </c>
      <c r="H149" s="7">
        <v>153</v>
      </c>
      <c r="I149" s="8">
        <v>45853.50203358796</v>
      </c>
      <c r="J149" s="8">
        <v>45853.50203358796</v>
      </c>
      <c r="K149" s="7" t="s">
        <v>397</v>
      </c>
      <c r="L149" s="7" t="s">
        <v>397</v>
      </c>
    </row>
    <row r="150" spans="1:12" x14ac:dyDescent="0.25">
      <c r="A150" s="7">
        <v>150</v>
      </c>
      <c r="B150" s="7">
        <v>6862116</v>
      </c>
      <c r="C150" s="7">
        <v>39</v>
      </c>
      <c r="D150" s="7" t="s">
        <v>803</v>
      </c>
      <c r="E150" s="7" t="s">
        <v>804</v>
      </c>
      <c r="F150" s="7" t="s">
        <v>805</v>
      </c>
      <c r="G150" s="7" t="s">
        <v>396</v>
      </c>
      <c r="H150" s="7">
        <v>153</v>
      </c>
      <c r="I150" s="8">
        <v>45853.50203358796</v>
      </c>
      <c r="J150" s="8">
        <v>45853.50203358796</v>
      </c>
      <c r="K150" s="7" t="s">
        <v>397</v>
      </c>
      <c r="L150" s="7" t="s">
        <v>397</v>
      </c>
    </row>
    <row r="151" spans="1:12" x14ac:dyDescent="0.25">
      <c r="A151" s="7">
        <v>151</v>
      </c>
      <c r="B151" s="7">
        <v>6862120</v>
      </c>
      <c r="C151" s="7">
        <v>39</v>
      </c>
      <c r="D151" s="7" t="s">
        <v>806</v>
      </c>
      <c r="E151" s="7" t="s">
        <v>807</v>
      </c>
      <c r="F151" s="7" t="s">
        <v>808</v>
      </c>
      <c r="G151" s="7" t="s">
        <v>396</v>
      </c>
      <c r="H151" s="7">
        <v>153</v>
      </c>
      <c r="I151" s="8">
        <v>45853.50203358796</v>
      </c>
      <c r="J151" s="8">
        <v>45853.50203358796</v>
      </c>
      <c r="K151" s="7" t="s">
        <v>397</v>
      </c>
      <c r="L151" s="7" t="s">
        <v>397</v>
      </c>
    </row>
    <row r="152" spans="1:12" x14ac:dyDescent="0.25">
      <c r="A152" s="7">
        <v>77</v>
      </c>
      <c r="B152" s="7">
        <v>4089</v>
      </c>
      <c r="C152" s="7">
        <v>4</v>
      </c>
      <c r="D152" s="7" t="s">
        <v>809</v>
      </c>
      <c r="E152" s="7" t="s">
        <v>810</v>
      </c>
      <c r="F152" s="7" t="s">
        <v>811</v>
      </c>
      <c r="G152" s="7" t="s">
        <v>396</v>
      </c>
      <c r="H152" s="7">
        <v>1</v>
      </c>
      <c r="I152" s="8">
        <v>45853.50203358796</v>
      </c>
      <c r="J152" s="8">
        <v>45853.50203358796</v>
      </c>
      <c r="K152" s="7" t="s">
        <v>397</v>
      </c>
      <c r="L152" s="7" t="s">
        <v>397</v>
      </c>
    </row>
    <row r="153" spans="1:12" x14ac:dyDescent="0.25">
      <c r="A153" s="7">
        <v>152</v>
      </c>
      <c r="B153" s="7">
        <v>3041</v>
      </c>
      <c r="C153" s="7">
        <v>48</v>
      </c>
      <c r="D153" s="7" t="s">
        <v>812</v>
      </c>
      <c r="E153" s="7" t="s">
        <v>813</v>
      </c>
      <c r="F153" s="7" t="s">
        <v>814</v>
      </c>
      <c r="G153" s="7" t="s">
        <v>396</v>
      </c>
      <c r="H153" s="7">
        <v>1</v>
      </c>
      <c r="I153" s="8">
        <v>45853.50203358796</v>
      </c>
      <c r="J153" s="8">
        <v>45853.50203358796</v>
      </c>
      <c r="K153" s="7" t="s">
        <v>397</v>
      </c>
      <c r="L153" s="7" t="s">
        <v>397</v>
      </c>
    </row>
    <row r="154" spans="1:12" x14ac:dyDescent="0.25">
      <c r="A154" s="7">
        <v>153</v>
      </c>
      <c r="B154" s="7">
        <v>247920</v>
      </c>
      <c r="C154" s="7">
        <v>39</v>
      </c>
      <c r="D154" s="7" t="s">
        <v>815</v>
      </c>
      <c r="E154" s="7" t="s">
        <v>816</v>
      </c>
      <c r="F154" s="7" t="s">
        <v>817</v>
      </c>
      <c r="G154" s="7" t="s">
        <v>396</v>
      </c>
      <c r="H154" s="7">
        <v>153</v>
      </c>
      <c r="I154" s="8">
        <v>45853.50203358796</v>
      </c>
      <c r="J154" s="8">
        <v>45853.50203358796</v>
      </c>
      <c r="K154" s="7" t="s">
        <v>397</v>
      </c>
      <c r="L154" s="7" t="s">
        <v>397</v>
      </c>
    </row>
    <row r="155" spans="1:12" x14ac:dyDescent="0.25">
      <c r="A155" s="7">
        <v>154</v>
      </c>
      <c r="B155" s="7">
        <v>6530363</v>
      </c>
      <c r="C155" s="7">
        <v>137</v>
      </c>
      <c r="D155" s="7" t="s">
        <v>818</v>
      </c>
      <c r="E155" s="7" t="s">
        <v>819</v>
      </c>
      <c r="F155" s="7" t="s">
        <v>820</v>
      </c>
      <c r="G155" s="7" t="s">
        <v>396</v>
      </c>
      <c r="H155" s="7">
        <v>1</v>
      </c>
      <c r="I155" s="8">
        <v>45853.50203358796</v>
      </c>
      <c r="J155" s="8">
        <v>45853.50203358796</v>
      </c>
      <c r="K155" s="7" t="s">
        <v>397</v>
      </c>
      <c r="L155" s="7" t="s">
        <v>397</v>
      </c>
    </row>
    <row r="156" spans="1:12" x14ac:dyDescent="0.25">
      <c r="A156" s="7">
        <v>155</v>
      </c>
      <c r="B156" s="7">
        <v>11163237</v>
      </c>
      <c r="C156" s="7">
        <v>36</v>
      </c>
      <c r="D156" s="7" t="s">
        <v>821</v>
      </c>
      <c r="E156" s="7" t="s">
        <v>822</v>
      </c>
      <c r="F156" s="7" t="s">
        <v>823</v>
      </c>
      <c r="G156" s="7" t="s">
        <v>396</v>
      </c>
      <c r="H156" s="7">
        <v>1</v>
      </c>
      <c r="I156" s="8">
        <v>45853.50203358796</v>
      </c>
      <c r="J156" s="8">
        <v>45853.50203358796</v>
      </c>
      <c r="K156" s="7" t="s">
        <v>397</v>
      </c>
      <c r="L156" s="7" t="s">
        <v>397</v>
      </c>
    </row>
    <row r="157" spans="1:12" x14ac:dyDescent="0.25">
      <c r="A157" s="7">
        <v>156</v>
      </c>
      <c r="B157" s="7">
        <v>2879</v>
      </c>
      <c r="C157" s="7">
        <v>136</v>
      </c>
      <c r="D157" s="7" t="s">
        <v>824</v>
      </c>
      <c r="E157" s="7" t="s">
        <v>825</v>
      </c>
      <c r="F157" s="7" t="s">
        <v>826</v>
      </c>
      <c r="G157" s="7" t="s">
        <v>396</v>
      </c>
      <c r="H157" s="7">
        <v>1</v>
      </c>
      <c r="I157" s="8">
        <v>45853.50203358796</v>
      </c>
      <c r="J157" s="8">
        <v>45853.50203358796</v>
      </c>
      <c r="K157" s="7" t="s">
        <v>397</v>
      </c>
      <c r="L157" s="7" t="s">
        <v>397</v>
      </c>
    </row>
    <row r="158" spans="1:12" x14ac:dyDescent="0.25">
      <c r="A158" s="7">
        <v>157</v>
      </c>
      <c r="B158" s="7">
        <v>13109568</v>
      </c>
      <c r="C158" s="7">
        <v>148</v>
      </c>
      <c r="D158" s="7" t="s">
        <v>827</v>
      </c>
      <c r="E158" s="7" t="s">
        <v>828</v>
      </c>
      <c r="F158" s="7" t="s">
        <v>829</v>
      </c>
      <c r="G158" s="7" t="s">
        <v>396</v>
      </c>
      <c r="H158" s="7">
        <v>153</v>
      </c>
      <c r="I158" s="8">
        <v>45853.50203358796</v>
      </c>
      <c r="J158" s="8">
        <v>45853.50203358796</v>
      </c>
      <c r="K158" s="7" t="s">
        <v>397</v>
      </c>
      <c r="L158" s="7" t="s">
        <v>397</v>
      </c>
    </row>
    <row r="159" spans="1:12" x14ac:dyDescent="0.25">
      <c r="A159" s="7">
        <v>158</v>
      </c>
      <c r="B159" s="7">
        <v>12033734</v>
      </c>
      <c r="C159" s="7">
        <v>150</v>
      </c>
      <c r="D159" s="7" t="s">
        <v>830</v>
      </c>
      <c r="E159" s="7" t="s">
        <v>831</v>
      </c>
      <c r="F159" s="7" t="s">
        <v>832</v>
      </c>
      <c r="G159" s="7" t="s">
        <v>833</v>
      </c>
      <c r="H159" s="7">
        <v>1</v>
      </c>
      <c r="I159" s="8">
        <v>45853.50203358796</v>
      </c>
      <c r="J159" s="8">
        <v>45853.50203358796</v>
      </c>
      <c r="K159" s="7" t="s">
        <v>397</v>
      </c>
      <c r="L159" s="7" t="s">
        <v>397</v>
      </c>
    </row>
    <row r="160" spans="1:12" x14ac:dyDescent="0.25">
      <c r="A160" s="7">
        <v>159</v>
      </c>
      <c r="B160" s="7">
        <v>12358726</v>
      </c>
      <c r="C160" s="7">
        <v>151</v>
      </c>
      <c r="D160" s="7" t="s">
        <v>834</v>
      </c>
      <c r="E160" s="7" t="s">
        <v>376</v>
      </c>
      <c r="F160" s="7" t="s">
        <v>835</v>
      </c>
      <c r="G160" s="7" t="s">
        <v>396</v>
      </c>
      <c r="H160" s="7">
        <v>1</v>
      </c>
      <c r="I160" s="8">
        <v>45853.50203358796</v>
      </c>
      <c r="J160" s="8">
        <v>45853.50203358796</v>
      </c>
      <c r="K160" s="7" t="s">
        <v>397</v>
      </c>
      <c r="L160" s="7" t="s">
        <v>397</v>
      </c>
    </row>
    <row r="161" spans="1:12" x14ac:dyDescent="0.25">
      <c r="A161" s="7">
        <v>160</v>
      </c>
      <c r="B161" s="7">
        <v>1983153</v>
      </c>
      <c r="C161" s="7">
        <v>152</v>
      </c>
      <c r="D161" s="7" t="s">
        <v>836</v>
      </c>
      <c r="E161" s="7" t="s">
        <v>837</v>
      </c>
      <c r="F161" s="7" t="s">
        <v>838</v>
      </c>
      <c r="G161" s="7" t="s">
        <v>833</v>
      </c>
      <c r="H161" s="7">
        <v>1</v>
      </c>
      <c r="I161" s="8">
        <v>45853.50203358796</v>
      </c>
      <c r="J161" s="8">
        <v>45853.50203358796</v>
      </c>
      <c r="K161" s="7" t="s">
        <v>397</v>
      </c>
      <c r="L161" s="7" t="s">
        <v>397</v>
      </c>
    </row>
    <row r="162" spans="1:12" x14ac:dyDescent="0.25">
      <c r="A162" s="7">
        <v>161</v>
      </c>
      <c r="B162" s="7">
        <v>15040917</v>
      </c>
      <c r="C162" s="7">
        <v>39</v>
      </c>
      <c r="D162" s="7" t="s">
        <v>839</v>
      </c>
      <c r="E162" s="7" t="s">
        <v>840</v>
      </c>
      <c r="F162" s="7" t="s">
        <v>841</v>
      </c>
      <c r="G162" s="7" t="s">
        <v>833</v>
      </c>
      <c r="H162" s="7">
        <v>1</v>
      </c>
      <c r="I162" s="8">
        <v>45853.50203358796</v>
      </c>
      <c r="J162" s="8">
        <v>45853.50203358796</v>
      </c>
      <c r="K162" s="7" t="s">
        <v>397</v>
      </c>
      <c r="L162" s="7" t="s">
        <v>397</v>
      </c>
    </row>
    <row r="163" spans="1:12" x14ac:dyDescent="0.25">
      <c r="A163" s="7">
        <v>162</v>
      </c>
      <c r="B163" s="7">
        <v>14980973</v>
      </c>
      <c r="C163" s="7">
        <v>39</v>
      </c>
      <c r="D163" s="7" t="s">
        <v>842</v>
      </c>
      <c r="E163" s="7" t="s">
        <v>843</v>
      </c>
      <c r="F163" s="7" t="s">
        <v>844</v>
      </c>
      <c r="G163" s="7" t="s">
        <v>396</v>
      </c>
      <c r="H163" s="7">
        <v>153</v>
      </c>
      <c r="I163" s="8">
        <v>45853.50203358796</v>
      </c>
      <c r="J163" s="8">
        <v>45853.50203358796</v>
      </c>
      <c r="K163" s="7" t="s">
        <v>397</v>
      </c>
      <c r="L163" s="7" t="s">
        <v>397</v>
      </c>
    </row>
    <row r="164" spans="1:12" x14ac:dyDescent="0.25">
      <c r="A164" s="7">
        <v>163</v>
      </c>
      <c r="B164" s="7">
        <v>15070684</v>
      </c>
      <c r="C164" s="7">
        <v>39</v>
      </c>
      <c r="D164" s="7" t="s">
        <v>845</v>
      </c>
      <c r="E164" s="7" t="s">
        <v>846</v>
      </c>
      <c r="F164" s="7" t="s">
        <v>847</v>
      </c>
      <c r="G164" s="7" t="s">
        <v>833</v>
      </c>
      <c r="H164" s="7">
        <v>153</v>
      </c>
      <c r="I164" s="8">
        <v>45853.50203358796</v>
      </c>
      <c r="J164" s="8">
        <v>45853.50203358796</v>
      </c>
      <c r="K164" s="7" t="s">
        <v>397</v>
      </c>
      <c r="L164" s="7" t="s">
        <v>397</v>
      </c>
    </row>
    <row r="165" spans="1:12" x14ac:dyDescent="0.25">
      <c r="A165" s="7">
        <v>164</v>
      </c>
      <c r="B165" s="7">
        <v>15070695</v>
      </c>
      <c r="C165" s="7">
        <v>39</v>
      </c>
      <c r="D165" s="7" t="s">
        <v>848</v>
      </c>
      <c r="E165" s="7" t="s">
        <v>849</v>
      </c>
      <c r="F165" s="7" t="s">
        <v>850</v>
      </c>
      <c r="G165" s="7" t="s">
        <v>396</v>
      </c>
      <c r="H165" s="7">
        <v>153</v>
      </c>
      <c r="I165" s="8">
        <v>45853.50203358796</v>
      </c>
      <c r="J165" s="8">
        <v>45853.50203358796</v>
      </c>
      <c r="K165" s="7" t="s">
        <v>397</v>
      </c>
      <c r="L165" s="7" t="s">
        <v>397</v>
      </c>
    </row>
  </sheetData>
  <autoFilter ref="A1:L165" xr:uid="{2467A889-2E1B-4324-9859-FDC5CB78039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E48A-C761-460E-B288-5D8C95D0284D}">
  <dimension ref="A1:R165"/>
  <sheetViews>
    <sheetView topLeftCell="A134" zoomScaleNormal="100" workbookViewId="0">
      <selection activeCell="J14" sqref="J14"/>
    </sheetView>
  </sheetViews>
  <sheetFormatPr defaultRowHeight="15" x14ac:dyDescent="0.25"/>
  <cols>
    <col min="1" max="1" width="14.5703125" bestFit="1" customWidth="1"/>
    <col min="3" max="3" width="31.7109375" bestFit="1" customWidth="1"/>
    <col min="5" max="5" width="49.7109375" bestFit="1" customWidth="1"/>
    <col min="9" max="9" width="10.42578125" bestFit="1" customWidth="1"/>
    <col min="13" max="13" width="13.28515625" bestFit="1" customWidth="1"/>
    <col min="14" max="14" width="51.140625" bestFit="1" customWidth="1"/>
  </cols>
  <sheetData>
    <row r="1" spans="1:18" x14ac:dyDescent="0.25">
      <c r="A1" t="s">
        <v>1</v>
      </c>
      <c r="B1" t="s">
        <v>851</v>
      </c>
      <c r="C1" t="s">
        <v>852</v>
      </c>
      <c r="D1" t="s">
        <v>853</v>
      </c>
      <c r="E1" t="s">
        <v>854</v>
      </c>
      <c r="F1" t="s">
        <v>855</v>
      </c>
      <c r="G1" t="s">
        <v>856</v>
      </c>
      <c r="H1" t="s">
        <v>857</v>
      </c>
      <c r="I1" t="s">
        <v>858</v>
      </c>
      <c r="J1" t="s">
        <v>859</v>
      </c>
      <c r="K1" t="s">
        <v>860</v>
      </c>
      <c r="L1" t="s">
        <v>861</v>
      </c>
      <c r="M1" t="s">
        <v>862</v>
      </c>
      <c r="N1" t="s">
        <v>863</v>
      </c>
      <c r="O1" t="s">
        <v>864</v>
      </c>
      <c r="P1" t="s">
        <v>865</v>
      </c>
      <c r="Q1" t="s">
        <v>866</v>
      </c>
      <c r="R1" t="s">
        <v>867</v>
      </c>
    </row>
    <row r="2" spans="1:18" x14ac:dyDescent="0.25">
      <c r="A2">
        <v>708786</v>
      </c>
      <c r="B2">
        <v>2422</v>
      </c>
      <c r="C2" t="s">
        <v>868</v>
      </c>
      <c r="D2" t="s">
        <v>869</v>
      </c>
      <c r="E2" t="s">
        <v>870</v>
      </c>
      <c r="F2" t="s">
        <v>17</v>
      </c>
      <c r="G2" t="s">
        <v>871</v>
      </c>
      <c r="H2" t="s">
        <v>872</v>
      </c>
      <c r="I2" s="2">
        <v>44508</v>
      </c>
      <c r="J2" t="s">
        <v>873</v>
      </c>
      <c r="K2">
        <v>1</v>
      </c>
      <c r="L2" t="s">
        <v>251</v>
      </c>
      <c r="M2">
        <v>708786</v>
      </c>
      <c r="N2" t="s">
        <v>21</v>
      </c>
      <c r="O2" t="b">
        <v>1</v>
      </c>
      <c r="P2" t="str">
        <f>IF(LEN(A2)&gt;8,"TF","Del")</f>
        <v>Del</v>
      </c>
      <c r="Q2" t="str">
        <f>IF(LEN(M2)&gt;8,"TF","Del")</f>
        <v>Del</v>
      </c>
    </row>
    <row r="3" spans="1:18" x14ac:dyDescent="0.25">
      <c r="A3">
        <v>724767</v>
      </c>
      <c r="B3">
        <v>4121</v>
      </c>
      <c r="C3" t="s">
        <v>874</v>
      </c>
      <c r="D3" t="s">
        <v>875</v>
      </c>
      <c r="E3" t="s">
        <v>876</v>
      </c>
      <c r="F3" t="s">
        <v>877</v>
      </c>
      <c r="G3" t="s">
        <v>878</v>
      </c>
      <c r="H3" t="s">
        <v>872</v>
      </c>
      <c r="I3" s="2">
        <v>45630</v>
      </c>
      <c r="J3" t="s">
        <v>873</v>
      </c>
      <c r="K3">
        <v>1</v>
      </c>
      <c r="L3" t="s">
        <v>289</v>
      </c>
      <c r="M3">
        <v>724767</v>
      </c>
      <c r="N3" t="s">
        <v>378</v>
      </c>
      <c r="O3" t="b">
        <v>1</v>
      </c>
      <c r="P3" t="str">
        <f t="shared" ref="P3:P66" si="0">IF(LEN(A3)&gt;8,"TF","Del")</f>
        <v>Del</v>
      </c>
      <c r="Q3" t="str">
        <f t="shared" ref="Q3:Q66" si="1">IF(LEN(M3)&gt;8,"TF","Del")</f>
        <v>Del</v>
      </c>
    </row>
    <row r="4" spans="1:18" x14ac:dyDescent="0.25">
      <c r="A4">
        <v>657375</v>
      </c>
      <c r="B4">
        <v>922</v>
      </c>
      <c r="C4" t="s">
        <v>879</v>
      </c>
      <c r="D4" t="s">
        <v>880</v>
      </c>
      <c r="E4" t="s">
        <v>881</v>
      </c>
      <c r="F4" t="s">
        <v>882</v>
      </c>
      <c r="G4" t="s">
        <v>878</v>
      </c>
      <c r="H4" t="s">
        <v>883</v>
      </c>
      <c r="I4" s="2">
        <v>42086</v>
      </c>
      <c r="J4" t="s">
        <v>873</v>
      </c>
      <c r="K4">
        <v>1</v>
      </c>
      <c r="L4" t="s">
        <v>251</v>
      </c>
      <c r="M4">
        <v>657375</v>
      </c>
      <c r="N4" t="s">
        <v>252</v>
      </c>
      <c r="O4" t="b">
        <v>1</v>
      </c>
      <c r="P4" t="str">
        <f t="shared" si="0"/>
        <v>Del</v>
      </c>
      <c r="Q4" t="str">
        <f t="shared" si="1"/>
        <v>Del</v>
      </c>
    </row>
    <row r="5" spans="1:18" x14ac:dyDescent="0.25">
      <c r="A5">
        <v>719168</v>
      </c>
      <c r="B5">
        <v>3782</v>
      </c>
      <c r="C5" t="s">
        <v>884</v>
      </c>
      <c r="D5" t="s">
        <v>885</v>
      </c>
      <c r="E5" t="s">
        <v>886</v>
      </c>
      <c r="F5" t="s">
        <v>17</v>
      </c>
      <c r="G5" t="s">
        <v>878</v>
      </c>
      <c r="H5" t="s">
        <v>887</v>
      </c>
      <c r="I5" s="2">
        <v>45257</v>
      </c>
      <c r="J5" t="s">
        <v>873</v>
      </c>
      <c r="K5">
        <v>1</v>
      </c>
      <c r="L5" t="s">
        <v>251</v>
      </c>
      <c r="M5">
        <v>719168</v>
      </c>
      <c r="N5" t="s">
        <v>25</v>
      </c>
      <c r="O5" t="b">
        <v>1</v>
      </c>
      <c r="P5" t="str">
        <f t="shared" si="0"/>
        <v>Del</v>
      </c>
      <c r="Q5" t="str">
        <f t="shared" si="1"/>
        <v>Del</v>
      </c>
    </row>
    <row r="6" spans="1:18" x14ac:dyDescent="0.25">
      <c r="A6">
        <v>719169</v>
      </c>
      <c r="B6">
        <v>3781</v>
      </c>
      <c r="C6" t="s">
        <v>884</v>
      </c>
      <c r="D6" t="s">
        <v>888</v>
      </c>
      <c r="E6" t="s">
        <v>889</v>
      </c>
      <c r="F6" t="s">
        <v>17</v>
      </c>
      <c r="G6" t="s">
        <v>878</v>
      </c>
      <c r="H6" t="s">
        <v>890</v>
      </c>
      <c r="I6" s="2">
        <v>45257</v>
      </c>
      <c r="J6" t="s">
        <v>873</v>
      </c>
      <c r="K6">
        <v>1</v>
      </c>
      <c r="L6" t="s">
        <v>251</v>
      </c>
      <c r="M6">
        <v>719169</v>
      </c>
      <c r="N6" t="s">
        <v>28</v>
      </c>
      <c r="O6" t="b">
        <v>1</v>
      </c>
      <c r="P6" t="str">
        <f t="shared" si="0"/>
        <v>Del</v>
      </c>
      <c r="Q6" t="str">
        <f t="shared" si="1"/>
        <v>Del</v>
      </c>
    </row>
    <row r="7" spans="1:18" x14ac:dyDescent="0.25">
      <c r="A7">
        <v>597012</v>
      </c>
      <c r="B7">
        <v>1261</v>
      </c>
      <c r="C7" t="s">
        <v>891</v>
      </c>
      <c r="D7" t="s">
        <v>892</v>
      </c>
      <c r="E7" t="s">
        <v>893</v>
      </c>
      <c r="F7" t="s">
        <v>17</v>
      </c>
      <c r="G7" t="s">
        <v>894</v>
      </c>
      <c r="H7" t="s">
        <v>895</v>
      </c>
      <c r="I7" s="2">
        <v>43297</v>
      </c>
      <c r="J7" t="s">
        <v>873</v>
      </c>
      <c r="K7">
        <v>1</v>
      </c>
      <c r="L7" t="s">
        <v>251</v>
      </c>
      <c r="M7">
        <v>597012</v>
      </c>
      <c r="N7" t="s">
        <v>45</v>
      </c>
      <c r="O7" t="b">
        <v>1</v>
      </c>
      <c r="P7" t="str">
        <f t="shared" si="0"/>
        <v>Del</v>
      </c>
      <c r="Q7" t="str">
        <f t="shared" si="1"/>
        <v>Del</v>
      </c>
    </row>
    <row r="8" spans="1:18" x14ac:dyDescent="0.25">
      <c r="A8">
        <v>597016</v>
      </c>
      <c r="B8">
        <v>1201</v>
      </c>
      <c r="C8" t="s">
        <v>891</v>
      </c>
      <c r="D8" t="s">
        <v>896</v>
      </c>
      <c r="E8" t="s">
        <v>897</v>
      </c>
      <c r="F8" t="s">
        <v>17</v>
      </c>
      <c r="G8" t="s">
        <v>898</v>
      </c>
      <c r="H8" t="s">
        <v>895</v>
      </c>
      <c r="I8" s="2">
        <v>43283</v>
      </c>
      <c r="J8" t="s">
        <v>873</v>
      </c>
      <c r="K8">
        <v>1</v>
      </c>
      <c r="L8" t="s">
        <v>251</v>
      </c>
      <c r="M8">
        <v>597016</v>
      </c>
      <c r="N8" t="s">
        <v>39</v>
      </c>
      <c r="O8" t="b">
        <v>1</v>
      </c>
      <c r="P8" t="str">
        <f t="shared" si="0"/>
        <v>Del</v>
      </c>
      <c r="Q8" t="str">
        <f t="shared" si="1"/>
        <v>Del</v>
      </c>
    </row>
    <row r="9" spans="1:18" s="5" customFormat="1" x14ac:dyDescent="0.25">
      <c r="A9" s="5">
        <v>707793</v>
      </c>
      <c r="B9" s="5">
        <v>2381</v>
      </c>
      <c r="C9" s="5" t="s">
        <v>891</v>
      </c>
      <c r="D9" s="5" t="s">
        <v>899</v>
      </c>
      <c r="E9" s="5" t="s">
        <v>900</v>
      </c>
      <c r="F9" s="5" t="s">
        <v>17</v>
      </c>
      <c r="G9" s="5" t="s">
        <v>878</v>
      </c>
      <c r="H9" s="5" t="s">
        <v>895</v>
      </c>
      <c r="I9" s="6">
        <v>44424</v>
      </c>
      <c r="J9" s="5" t="s">
        <v>873</v>
      </c>
      <c r="K9" s="5">
        <v>1</v>
      </c>
      <c r="L9" s="5" t="s">
        <v>251</v>
      </c>
      <c r="M9" s="5">
        <v>686585</v>
      </c>
      <c r="N9" t="s">
        <v>42</v>
      </c>
      <c r="O9" s="5" t="b">
        <v>0</v>
      </c>
      <c r="P9" t="str">
        <f t="shared" si="0"/>
        <v>Del</v>
      </c>
      <c r="Q9" t="str">
        <f t="shared" si="1"/>
        <v>Del</v>
      </c>
    </row>
    <row r="10" spans="1:18" x14ac:dyDescent="0.25">
      <c r="A10">
        <v>727783</v>
      </c>
      <c r="B10">
        <v>4281</v>
      </c>
      <c r="C10" t="s">
        <v>891</v>
      </c>
      <c r="D10" t="s">
        <v>901</v>
      </c>
      <c r="E10" t="s">
        <v>902</v>
      </c>
      <c r="F10" t="s">
        <v>17</v>
      </c>
      <c r="G10" t="s">
        <v>878</v>
      </c>
      <c r="H10" t="s">
        <v>872</v>
      </c>
      <c r="I10" s="2">
        <v>45775</v>
      </c>
      <c r="J10" t="s">
        <v>873</v>
      </c>
      <c r="K10">
        <v>0</v>
      </c>
      <c r="L10" t="s">
        <v>251</v>
      </c>
      <c r="M10">
        <v>686585</v>
      </c>
      <c r="N10" t="s">
        <v>42</v>
      </c>
      <c r="O10" s="5" t="b">
        <v>0</v>
      </c>
      <c r="P10" t="str">
        <f t="shared" si="0"/>
        <v>Del</v>
      </c>
      <c r="Q10" t="str">
        <f t="shared" si="1"/>
        <v>Del</v>
      </c>
    </row>
    <row r="11" spans="1:18" x14ac:dyDescent="0.25">
      <c r="A11">
        <v>686585</v>
      </c>
      <c r="B11">
        <v>1202</v>
      </c>
      <c r="C11" t="s">
        <v>891</v>
      </c>
      <c r="D11" t="s">
        <v>903</v>
      </c>
      <c r="E11" t="s">
        <v>904</v>
      </c>
      <c r="F11" t="s">
        <v>17</v>
      </c>
      <c r="G11" t="s">
        <v>878</v>
      </c>
      <c r="H11" t="s">
        <v>872</v>
      </c>
      <c r="I11" s="2">
        <v>43283</v>
      </c>
      <c r="J11" t="s">
        <v>873</v>
      </c>
      <c r="K11">
        <v>1</v>
      </c>
      <c r="L11" t="s">
        <v>251</v>
      </c>
      <c r="M11">
        <v>686585</v>
      </c>
      <c r="N11" t="s">
        <v>42</v>
      </c>
      <c r="O11" t="b">
        <v>1</v>
      </c>
      <c r="P11" t="str">
        <f t="shared" si="0"/>
        <v>Del</v>
      </c>
      <c r="Q11" t="str">
        <f t="shared" si="1"/>
        <v>Del</v>
      </c>
    </row>
    <row r="12" spans="1:18" x14ac:dyDescent="0.25">
      <c r="A12">
        <v>597009</v>
      </c>
      <c r="B12">
        <v>1203</v>
      </c>
      <c r="C12" t="s">
        <v>891</v>
      </c>
      <c r="D12" t="s">
        <v>905</v>
      </c>
      <c r="E12" t="s">
        <v>906</v>
      </c>
      <c r="F12" t="s">
        <v>17</v>
      </c>
      <c r="G12" t="s">
        <v>907</v>
      </c>
      <c r="H12" t="s">
        <v>895</v>
      </c>
      <c r="I12" s="2">
        <v>43283</v>
      </c>
      <c r="J12" t="s">
        <v>873</v>
      </c>
      <c r="K12">
        <v>1</v>
      </c>
      <c r="L12" t="s">
        <v>251</v>
      </c>
      <c r="M12">
        <v>597009</v>
      </c>
      <c r="N12" t="s">
        <v>48</v>
      </c>
      <c r="O12" t="b">
        <v>1</v>
      </c>
      <c r="P12" t="str">
        <f t="shared" si="0"/>
        <v>Del</v>
      </c>
      <c r="Q12" t="str">
        <f t="shared" si="1"/>
        <v>Del</v>
      </c>
    </row>
    <row r="13" spans="1:18" x14ac:dyDescent="0.25">
      <c r="A13">
        <v>727790</v>
      </c>
      <c r="B13">
        <v>4261</v>
      </c>
      <c r="C13" t="s">
        <v>908</v>
      </c>
      <c r="D13" t="s">
        <v>909</v>
      </c>
      <c r="E13" t="s">
        <v>910</v>
      </c>
      <c r="F13" t="s">
        <v>17</v>
      </c>
      <c r="G13" t="s">
        <v>878</v>
      </c>
      <c r="H13" t="s">
        <v>895</v>
      </c>
      <c r="I13" s="2">
        <v>45770</v>
      </c>
      <c r="J13" t="s">
        <v>873</v>
      </c>
      <c r="K13">
        <v>1</v>
      </c>
      <c r="L13" t="s">
        <v>251</v>
      </c>
      <c r="M13">
        <v>724627</v>
      </c>
      <c r="N13" t="s">
        <v>372</v>
      </c>
      <c r="O13" s="5" t="b">
        <v>0</v>
      </c>
      <c r="P13" t="str">
        <f t="shared" si="0"/>
        <v>Del</v>
      </c>
      <c r="Q13" t="str">
        <f t="shared" si="1"/>
        <v>Del</v>
      </c>
    </row>
    <row r="14" spans="1:18" x14ac:dyDescent="0.25">
      <c r="A14">
        <v>724628</v>
      </c>
      <c r="B14">
        <v>4042</v>
      </c>
      <c r="C14" t="s">
        <v>908</v>
      </c>
      <c r="D14" t="s">
        <v>903</v>
      </c>
      <c r="E14" t="s">
        <v>904</v>
      </c>
      <c r="F14" t="s">
        <v>17</v>
      </c>
      <c r="G14" t="s">
        <v>878</v>
      </c>
      <c r="H14" t="s">
        <v>872</v>
      </c>
      <c r="I14" s="2">
        <v>45576</v>
      </c>
      <c r="J14" t="s">
        <v>873</v>
      </c>
      <c r="K14">
        <v>1</v>
      </c>
      <c r="L14" t="s">
        <v>251</v>
      </c>
      <c r="M14">
        <v>724627</v>
      </c>
      <c r="N14" t="s">
        <v>372</v>
      </c>
      <c r="O14" s="5" t="b">
        <v>0</v>
      </c>
      <c r="P14" t="str">
        <f t="shared" si="0"/>
        <v>Del</v>
      </c>
      <c r="Q14" t="str">
        <f t="shared" si="1"/>
        <v>Del</v>
      </c>
    </row>
    <row r="15" spans="1:18" x14ac:dyDescent="0.25">
      <c r="A15">
        <v>724627</v>
      </c>
      <c r="B15">
        <v>4041</v>
      </c>
      <c r="C15" t="s">
        <v>908</v>
      </c>
      <c r="D15" t="s">
        <v>899</v>
      </c>
      <c r="E15" t="s">
        <v>900</v>
      </c>
      <c r="F15" t="s">
        <v>17</v>
      </c>
      <c r="G15" t="s">
        <v>878</v>
      </c>
      <c r="H15" t="s">
        <v>872</v>
      </c>
      <c r="I15" s="2">
        <v>45576</v>
      </c>
      <c r="J15" t="s">
        <v>873</v>
      </c>
      <c r="K15">
        <v>0</v>
      </c>
      <c r="L15" t="s">
        <v>251</v>
      </c>
      <c r="M15">
        <v>724627</v>
      </c>
      <c r="N15" t="s">
        <v>372</v>
      </c>
      <c r="O15" t="b">
        <v>1</v>
      </c>
      <c r="P15" t="str">
        <f t="shared" si="0"/>
        <v>Del</v>
      </c>
      <c r="Q15" t="str">
        <f t="shared" si="1"/>
        <v>Del</v>
      </c>
    </row>
    <row r="16" spans="1:18" x14ac:dyDescent="0.25">
      <c r="A16">
        <v>716407</v>
      </c>
      <c r="B16">
        <v>3381</v>
      </c>
      <c r="C16" t="s">
        <v>911</v>
      </c>
      <c r="D16" t="s">
        <v>896</v>
      </c>
      <c r="E16" t="s">
        <v>897</v>
      </c>
      <c r="F16" t="s">
        <v>17</v>
      </c>
      <c r="G16" t="s">
        <v>898</v>
      </c>
      <c r="H16" t="s">
        <v>912</v>
      </c>
      <c r="I16" s="2">
        <v>45058</v>
      </c>
      <c r="J16" t="s">
        <v>873</v>
      </c>
      <c r="K16">
        <v>1</v>
      </c>
      <c r="L16" t="s">
        <v>251</v>
      </c>
      <c r="M16">
        <v>716407</v>
      </c>
      <c r="N16" t="s">
        <v>65</v>
      </c>
      <c r="O16" t="b">
        <v>1</v>
      </c>
      <c r="P16" t="str">
        <f t="shared" si="0"/>
        <v>Del</v>
      </c>
      <c r="Q16" t="str">
        <f t="shared" si="1"/>
        <v>Del</v>
      </c>
    </row>
    <row r="17" spans="1:17" x14ac:dyDescent="0.25">
      <c r="A17">
        <v>716408</v>
      </c>
      <c r="B17">
        <v>3441</v>
      </c>
      <c r="C17" t="s">
        <v>911</v>
      </c>
      <c r="D17" t="s">
        <v>913</v>
      </c>
      <c r="E17" t="s">
        <v>914</v>
      </c>
      <c r="F17" t="s">
        <v>17</v>
      </c>
      <c r="G17" t="s">
        <v>878</v>
      </c>
      <c r="H17" t="s">
        <v>912</v>
      </c>
      <c r="I17" s="2">
        <v>45065</v>
      </c>
      <c r="J17" t="s">
        <v>873</v>
      </c>
      <c r="K17">
        <v>0</v>
      </c>
      <c r="L17" t="s">
        <v>251</v>
      </c>
      <c r="M17">
        <v>714548</v>
      </c>
      <c r="N17" t="s">
        <v>63</v>
      </c>
      <c r="O17" s="5" t="b">
        <v>0</v>
      </c>
      <c r="P17" t="str">
        <f t="shared" si="0"/>
        <v>Del</v>
      </c>
      <c r="Q17" t="str">
        <f t="shared" si="1"/>
        <v>Del</v>
      </c>
    </row>
    <row r="18" spans="1:17" x14ac:dyDescent="0.25">
      <c r="A18">
        <v>714548</v>
      </c>
      <c r="B18">
        <v>2981</v>
      </c>
      <c r="C18" t="s">
        <v>911</v>
      </c>
      <c r="D18" t="s">
        <v>888</v>
      </c>
      <c r="E18" t="s">
        <v>889</v>
      </c>
      <c r="F18" t="s">
        <v>17</v>
      </c>
      <c r="G18" t="s">
        <v>878</v>
      </c>
      <c r="H18" t="s">
        <v>912</v>
      </c>
      <c r="I18" s="2">
        <v>44855</v>
      </c>
      <c r="J18" t="s">
        <v>873</v>
      </c>
      <c r="K18">
        <v>1</v>
      </c>
      <c r="L18" t="s">
        <v>251</v>
      </c>
      <c r="M18">
        <v>714548</v>
      </c>
      <c r="N18" t="s">
        <v>63</v>
      </c>
      <c r="O18" t="b">
        <v>1</v>
      </c>
      <c r="P18" t="str">
        <f t="shared" si="0"/>
        <v>Del</v>
      </c>
      <c r="Q18" t="str">
        <f t="shared" si="1"/>
        <v>Del</v>
      </c>
    </row>
    <row r="19" spans="1:17" x14ac:dyDescent="0.25">
      <c r="A19">
        <v>728108</v>
      </c>
      <c r="B19">
        <v>4244</v>
      </c>
      <c r="C19" t="s">
        <v>911</v>
      </c>
      <c r="D19" t="s">
        <v>915</v>
      </c>
      <c r="E19" t="s">
        <v>916</v>
      </c>
      <c r="F19" t="s">
        <v>17</v>
      </c>
      <c r="G19" t="s">
        <v>878</v>
      </c>
      <c r="H19" t="s">
        <v>912</v>
      </c>
      <c r="I19" s="2">
        <v>45769</v>
      </c>
      <c r="J19" t="s">
        <v>873</v>
      </c>
      <c r="K19">
        <v>0</v>
      </c>
      <c r="L19" t="s">
        <v>251</v>
      </c>
      <c r="M19">
        <v>714548</v>
      </c>
      <c r="N19" t="s">
        <v>63</v>
      </c>
      <c r="O19" s="5" t="b">
        <v>0</v>
      </c>
      <c r="P19" t="str">
        <f t="shared" si="0"/>
        <v>Del</v>
      </c>
      <c r="Q19" t="str">
        <f t="shared" si="1"/>
        <v>Del</v>
      </c>
    </row>
    <row r="20" spans="1:17" x14ac:dyDescent="0.25">
      <c r="A20">
        <v>727791</v>
      </c>
      <c r="B20">
        <v>4245</v>
      </c>
      <c r="C20" t="s">
        <v>911</v>
      </c>
      <c r="D20" t="s">
        <v>909</v>
      </c>
      <c r="E20" t="s">
        <v>910</v>
      </c>
      <c r="F20" t="s">
        <v>17</v>
      </c>
      <c r="G20" t="s">
        <v>878</v>
      </c>
      <c r="H20" t="s">
        <v>912</v>
      </c>
      <c r="I20" s="2">
        <v>45769</v>
      </c>
      <c r="J20" t="s">
        <v>873</v>
      </c>
      <c r="K20">
        <v>0</v>
      </c>
      <c r="L20" t="s">
        <v>251</v>
      </c>
      <c r="M20">
        <v>714548</v>
      </c>
      <c r="N20" t="s">
        <v>63</v>
      </c>
      <c r="O20" s="5" t="b">
        <v>0</v>
      </c>
      <c r="P20" t="str">
        <f t="shared" si="0"/>
        <v>Del</v>
      </c>
      <c r="Q20" t="str">
        <f t="shared" si="1"/>
        <v>Del</v>
      </c>
    </row>
    <row r="21" spans="1:17" x14ac:dyDescent="0.25">
      <c r="A21">
        <v>724571</v>
      </c>
      <c r="B21">
        <v>4021</v>
      </c>
      <c r="C21" t="s">
        <v>911</v>
      </c>
      <c r="D21" t="s">
        <v>903</v>
      </c>
      <c r="E21" t="s">
        <v>904</v>
      </c>
      <c r="F21" t="s">
        <v>17</v>
      </c>
      <c r="G21" t="s">
        <v>878</v>
      </c>
      <c r="H21" t="s">
        <v>872</v>
      </c>
      <c r="I21" s="2">
        <v>45574</v>
      </c>
      <c r="J21" t="s">
        <v>873</v>
      </c>
      <c r="K21">
        <v>1</v>
      </c>
      <c r="L21" t="s">
        <v>251</v>
      </c>
      <c r="M21">
        <v>714548</v>
      </c>
      <c r="N21" t="s">
        <v>63</v>
      </c>
      <c r="O21" s="5" t="b">
        <v>0</v>
      </c>
      <c r="P21" t="str">
        <f t="shared" si="0"/>
        <v>Del</v>
      </c>
      <c r="Q21" t="str">
        <f t="shared" si="1"/>
        <v>Del</v>
      </c>
    </row>
    <row r="22" spans="1:17" x14ac:dyDescent="0.25">
      <c r="A22">
        <v>724570</v>
      </c>
      <c r="B22">
        <v>4001</v>
      </c>
      <c r="C22" t="s">
        <v>911</v>
      </c>
      <c r="D22" t="s">
        <v>899</v>
      </c>
      <c r="E22" t="s">
        <v>900</v>
      </c>
      <c r="F22" t="s">
        <v>17</v>
      </c>
      <c r="G22" t="s">
        <v>878</v>
      </c>
      <c r="H22" t="s">
        <v>872</v>
      </c>
      <c r="I22" s="2">
        <v>45574</v>
      </c>
      <c r="J22" t="s">
        <v>873</v>
      </c>
      <c r="K22">
        <v>0</v>
      </c>
      <c r="L22" t="s">
        <v>251</v>
      </c>
      <c r="M22">
        <v>714548</v>
      </c>
      <c r="N22" t="s">
        <v>63</v>
      </c>
      <c r="O22" s="5" t="b">
        <v>0</v>
      </c>
      <c r="P22" t="str">
        <f t="shared" si="0"/>
        <v>Del</v>
      </c>
      <c r="Q22" t="str">
        <f t="shared" si="1"/>
        <v>Del</v>
      </c>
    </row>
    <row r="23" spans="1:17" x14ac:dyDescent="0.25">
      <c r="A23">
        <v>701535</v>
      </c>
      <c r="B23">
        <v>1922</v>
      </c>
      <c r="C23" t="s">
        <v>917</v>
      </c>
      <c r="D23" t="s">
        <v>918</v>
      </c>
      <c r="E23" t="s">
        <v>919</v>
      </c>
      <c r="F23" t="s">
        <v>17</v>
      </c>
      <c r="G23" t="s">
        <v>878</v>
      </c>
      <c r="H23" t="s">
        <v>912</v>
      </c>
      <c r="I23" s="2">
        <v>44144</v>
      </c>
      <c r="J23" t="s">
        <v>873</v>
      </c>
      <c r="K23">
        <v>1</v>
      </c>
      <c r="L23" t="s">
        <v>251</v>
      </c>
      <c r="M23">
        <v>701535</v>
      </c>
      <c r="N23" t="s">
        <v>68</v>
      </c>
      <c r="O23" t="b">
        <v>1</v>
      </c>
      <c r="P23" t="str">
        <f t="shared" si="0"/>
        <v>Del</v>
      </c>
      <c r="Q23" t="str">
        <f t="shared" si="1"/>
        <v>Del</v>
      </c>
    </row>
    <row r="24" spans="1:17" x14ac:dyDescent="0.25">
      <c r="A24">
        <v>724572</v>
      </c>
      <c r="B24">
        <v>886</v>
      </c>
      <c r="C24" t="s">
        <v>920</v>
      </c>
      <c r="D24" t="s">
        <v>921</v>
      </c>
      <c r="E24" t="s">
        <v>922</v>
      </c>
      <c r="F24" t="s">
        <v>17</v>
      </c>
      <c r="G24" t="s">
        <v>878</v>
      </c>
      <c r="H24" t="s">
        <v>923</v>
      </c>
      <c r="I24" s="2">
        <v>45566</v>
      </c>
      <c r="J24" t="s">
        <v>873</v>
      </c>
      <c r="K24">
        <v>1</v>
      </c>
      <c r="L24" t="s">
        <v>251</v>
      </c>
      <c r="M24">
        <v>724572</v>
      </c>
      <c r="N24" t="s">
        <v>369</v>
      </c>
      <c r="O24" t="b">
        <v>1</v>
      </c>
      <c r="P24" t="str">
        <f t="shared" si="0"/>
        <v>Del</v>
      </c>
      <c r="Q24" t="str">
        <f t="shared" si="1"/>
        <v>Del</v>
      </c>
    </row>
    <row r="25" spans="1:17" x14ac:dyDescent="0.25">
      <c r="A25">
        <v>713972</v>
      </c>
      <c r="B25">
        <v>3003</v>
      </c>
      <c r="C25" t="s">
        <v>920</v>
      </c>
      <c r="D25" t="s">
        <v>924</v>
      </c>
      <c r="E25" t="s">
        <v>925</v>
      </c>
      <c r="F25" t="s">
        <v>17</v>
      </c>
      <c r="G25" t="s">
        <v>878</v>
      </c>
      <c r="H25" t="s">
        <v>912</v>
      </c>
      <c r="I25" s="2">
        <v>45065</v>
      </c>
      <c r="J25" t="s">
        <v>873</v>
      </c>
      <c r="K25">
        <v>1</v>
      </c>
      <c r="L25" t="s">
        <v>251</v>
      </c>
      <c r="M25">
        <v>713972</v>
      </c>
      <c r="N25" t="s">
        <v>926</v>
      </c>
      <c r="O25" t="b">
        <v>1</v>
      </c>
      <c r="P25" t="str">
        <f t="shared" si="0"/>
        <v>Del</v>
      </c>
      <c r="Q25" t="str">
        <f t="shared" si="1"/>
        <v>Del</v>
      </c>
    </row>
    <row r="26" spans="1:17" x14ac:dyDescent="0.25">
      <c r="A26">
        <v>689939</v>
      </c>
      <c r="B26">
        <v>1365</v>
      </c>
      <c r="C26" t="s">
        <v>927</v>
      </c>
      <c r="D26" t="s">
        <v>928</v>
      </c>
      <c r="E26" t="s">
        <v>929</v>
      </c>
      <c r="F26" t="s">
        <v>930</v>
      </c>
      <c r="G26" t="s">
        <v>871</v>
      </c>
      <c r="H26" t="s">
        <v>931</v>
      </c>
      <c r="I26" s="2">
        <v>43410</v>
      </c>
      <c r="J26" t="s">
        <v>873</v>
      </c>
      <c r="K26">
        <v>1</v>
      </c>
      <c r="L26" t="s">
        <v>251</v>
      </c>
      <c r="M26">
        <v>689939</v>
      </c>
      <c r="N26" t="s">
        <v>267</v>
      </c>
      <c r="O26" t="b">
        <v>1</v>
      </c>
      <c r="P26" t="str">
        <f t="shared" si="0"/>
        <v>Del</v>
      </c>
      <c r="Q26" t="str">
        <f t="shared" si="1"/>
        <v>Del</v>
      </c>
    </row>
    <row r="27" spans="1:17" x14ac:dyDescent="0.25">
      <c r="A27" t="s">
        <v>260</v>
      </c>
      <c r="B27">
        <v>2566</v>
      </c>
      <c r="C27" t="s">
        <v>927</v>
      </c>
      <c r="D27" t="s">
        <v>932</v>
      </c>
      <c r="E27" t="s">
        <v>933</v>
      </c>
      <c r="F27" t="s">
        <v>930</v>
      </c>
      <c r="G27" t="s">
        <v>878</v>
      </c>
      <c r="H27" t="s">
        <v>934</v>
      </c>
      <c r="I27" s="2">
        <v>44599</v>
      </c>
      <c r="J27" t="s">
        <v>873</v>
      </c>
      <c r="K27">
        <v>1</v>
      </c>
      <c r="L27" t="s">
        <v>251</v>
      </c>
      <c r="M27" t="s">
        <v>260</v>
      </c>
      <c r="N27" t="s">
        <v>259</v>
      </c>
      <c r="O27" t="b">
        <v>1</v>
      </c>
      <c r="P27" t="str">
        <f t="shared" si="0"/>
        <v>Del</v>
      </c>
      <c r="Q27" t="str">
        <f t="shared" si="1"/>
        <v>Del</v>
      </c>
    </row>
    <row r="28" spans="1:17" x14ac:dyDescent="0.25">
      <c r="A28">
        <v>722285</v>
      </c>
      <c r="B28">
        <v>4101</v>
      </c>
      <c r="C28" t="s">
        <v>935</v>
      </c>
      <c r="D28" t="s">
        <v>936</v>
      </c>
      <c r="E28" t="s">
        <v>937</v>
      </c>
      <c r="F28" t="s">
        <v>17</v>
      </c>
      <c r="G28" t="s">
        <v>878</v>
      </c>
      <c r="H28" t="s">
        <v>938</v>
      </c>
      <c r="I28" s="2">
        <v>45618</v>
      </c>
      <c r="J28" t="s">
        <v>873</v>
      </c>
      <c r="K28">
        <v>1</v>
      </c>
      <c r="L28" t="s">
        <v>251</v>
      </c>
      <c r="M28">
        <v>722285</v>
      </c>
      <c r="N28" t="s">
        <v>362</v>
      </c>
      <c r="O28" t="b">
        <v>1</v>
      </c>
      <c r="P28" t="str">
        <f t="shared" si="0"/>
        <v>Del</v>
      </c>
      <c r="Q28" t="str">
        <f t="shared" si="1"/>
        <v>Del</v>
      </c>
    </row>
    <row r="29" spans="1:17" x14ac:dyDescent="0.25">
      <c r="A29" t="s">
        <v>939</v>
      </c>
      <c r="B29">
        <v>2570</v>
      </c>
      <c r="C29" t="s">
        <v>940</v>
      </c>
      <c r="D29" t="s">
        <v>932</v>
      </c>
      <c r="E29" t="s">
        <v>933</v>
      </c>
      <c r="F29" t="s">
        <v>930</v>
      </c>
      <c r="G29" t="s">
        <v>907</v>
      </c>
      <c r="H29" t="s">
        <v>941</v>
      </c>
      <c r="I29" s="2">
        <v>44599</v>
      </c>
      <c r="J29" t="s">
        <v>873</v>
      </c>
      <c r="K29">
        <v>0</v>
      </c>
      <c r="L29" t="s">
        <v>251</v>
      </c>
      <c r="M29">
        <v>692350</v>
      </c>
      <c r="N29" t="s">
        <v>270</v>
      </c>
      <c r="O29" s="5" t="b">
        <v>0</v>
      </c>
      <c r="P29" t="str">
        <f t="shared" si="0"/>
        <v>Del</v>
      </c>
      <c r="Q29" t="str">
        <f t="shared" si="1"/>
        <v>Del</v>
      </c>
    </row>
    <row r="30" spans="1:17" x14ac:dyDescent="0.25">
      <c r="A30">
        <v>692350</v>
      </c>
      <c r="B30">
        <v>1441</v>
      </c>
      <c r="C30" t="s">
        <v>940</v>
      </c>
      <c r="D30" t="s">
        <v>942</v>
      </c>
      <c r="E30" t="s">
        <v>943</v>
      </c>
      <c r="F30" t="s">
        <v>930</v>
      </c>
      <c r="G30" t="s">
        <v>907</v>
      </c>
      <c r="H30" t="s">
        <v>941</v>
      </c>
      <c r="I30" s="2">
        <v>43586</v>
      </c>
      <c r="J30" t="s">
        <v>873</v>
      </c>
      <c r="K30">
        <v>1</v>
      </c>
      <c r="L30" t="s">
        <v>289</v>
      </c>
      <c r="M30">
        <v>692350</v>
      </c>
      <c r="N30" t="s">
        <v>270</v>
      </c>
      <c r="O30" t="b">
        <v>1</v>
      </c>
      <c r="P30" t="str">
        <f t="shared" si="0"/>
        <v>Del</v>
      </c>
      <c r="Q30" t="str">
        <f t="shared" si="1"/>
        <v>Del</v>
      </c>
    </row>
    <row r="31" spans="1:17" x14ac:dyDescent="0.25">
      <c r="A31" t="s">
        <v>274</v>
      </c>
      <c r="B31">
        <v>2572</v>
      </c>
      <c r="C31" t="s">
        <v>944</v>
      </c>
      <c r="D31" t="s">
        <v>945</v>
      </c>
      <c r="E31" t="s">
        <v>946</v>
      </c>
      <c r="F31" t="s">
        <v>930</v>
      </c>
      <c r="G31" t="s">
        <v>871</v>
      </c>
      <c r="H31" t="s">
        <v>941</v>
      </c>
      <c r="I31" s="2">
        <v>44599</v>
      </c>
      <c r="J31" t="s">
        <v>873</v>
      </c>
      <c r="K31">
        <v>1</v>
      </c>
      <c r="L31" t="s">
        <v>251</v>
      </c>
      <c r="M31" t="s">
        <v>274</v>
      </c>
      <c r="N31" t="s">
        <v>273</v>
      </c>
      <c r="O31" t="b">
        <v>1</v>
      </c>
      <c r="P31" t="str">
        <f t="shared" si="0"/>
        <v>Del</v>
      </c>
      <c r="Q31" t="str">
        <f t="shared" si="1"/>
        <v>Del</v>
      </c>
    </row>
    <row r="32" spans="1:17" x14ac:dyDescent="0.25">
      <c r="A32">
        <v>642651</v>
      </c>
      <c r="B32">
        <v>961</v>
      </c>
      <c r="C32" t="s">
        <v>947</v>
      </c>
      <c r="D32" t="s">
        <v>948</v>
      </c>
      <c r="E32" t="s">
        <v>949</v>
      </c>
      <c r="F32" t="s">
        <v>17</v>
      </c>
      <c r="G32" t="s">
        <v>878</v>
      </c>
      <c r="H32" t="s">
        <v>950</v>
      </c>
      <c r="I32" s="2">
        <v>41302</v>
      </c>
      <c r="J32" t="s">
        <v>873</v>
      </c>
      <c r="K32">
        <v>1</v>
      </c>
      <c r="L32" t="s">
        <v>251</v>
      </c>
      <c r="M32">
        <v>642651</v>
      </c>
      <c r="N32" t="s">
        <v>81</v>
      </c>
      <c r="O32" t="b">
        <v>1</v>
      </c>
      <c r="P32" t="str">
        <f t="shared" si="0"/>
        <v>Del</v>
      </c>
      <c r="Q32" t="str">
        <f t="shared" si="1"/>
        <v>Del</v>
      </c>
    </row>
    <row r="33" spans="1:17" x14ac:dyDescent="0.25">
      <c r="A33">
        <v>596990</v>
      </c>
      <c r="B33">
        <v>1062</v>
      </c>
      <c r="C33" t="s">
        <v>951</v>
      </c>
      <c r="D33" t="s">
        <v>952</v>
      </c>
      <c r="E33" t="s">
        <v>953</v>
      </c>
      <c r="F33" t="s">
        <v>17</v>
      </c>
      <c r="G33" t="s">
        <v>954</v>
      </c>
      <c r="H33" t="s">
        <v>872</v>
      </c>
      <c r="I33" s="2">
        <v>42919</v>
      </c>
      <c r="J33" t="s">
        <v>873</v>
      </c>
      <c r="K33">
        <v>1</v>
      </c>
      <c r="L33" t="s">
        <v>251</v>
      </c>
      <c r="M33">
        <v>596990</v>
      </c>
      <c r="N33" t="s">
        <v>84</v>
      </c>
      <c r="O33" t="b">
        <v>1</v>
      </c>
      <c r="P33" t="str">
        <f t="shared" si="0"/>
        <v>Del</v>
      </c>
      <c r="Q33" t="str">
        <f t="shared" si="1"/>
        <v>Del</v>
      </c>
    </row>
    <row r="34" spans="1:17" x14ac:dyDescent="0.25">
      <c r="A34" t="s">
        <v>955</v>
      </c>
      <c r="B34">
        <v>2565</v>
      </c>
      <c r="C34" t="s">
        <v>951</v>
      </c>
      <c r="D34" t="s">
        <v>932</v>
      </c>
      <c r="E34" t="s">
        <v>933</v>
      </c>
      <c r="F34" t="s">
        <v>930</v>
      </c>
      <c r="G34" t="s">
        <v>871</v>
      </c>
      <c r="H34" t="s">
        <v>941</v>
      </c>
      <c r="I34" s="2">
        <v>44599</v>
      </c>
      <c r="J34" t="s">
        <v>873</v>
      </c>
      <c r="K34">
        <v>0</v>
      </c>
      <c r="L34" t="s">
        <v>251</v>
      </c>
      <c r="M34">
        <v>681724</v>
      </c>
      <c r="N34" t="s">
        <v>277</v>
      </c>
      <c r="O34" s="5" t="b">
        <v>0</v>
      </c>
      <c r="P34" t="str">
        <f t="shared" si="0"/>
        <v>Del</v>
      </c>
      <c r="Q34" t="str">
        <f t="shared" si="1"/>
        <v>Del</v>
      </c>
    </row>
    <row r="35" spans="1:17" x14ac:dyDescent="0.25">
      <c r="A35" t="s">
        <v>956</v>
      </c>
      <c r="B35">
        <v>2574</v>
      </c>
      <c r="C35" t="s">
        <v>951</v>
      </c>
      <c r="D35" t="s">
        <v>945</v>
      </c>
      <c r="E35" t="s">
        <v>946</v>
      </c>
      <c r="F35" t="s">
        <v>930</v>
      </c>
      <c r="G35" t="s">
        <v>871</v>
      </c>
      <c r="H35" t="s">
        <v>941</v>
      </c>
      <c r="I35" s="2">
        <v>44599</v>
      </c>
      <c r="J35" t="s">
        <v>873</v>
      </c>
      <c r="K35">
        <v>0</v>
      </c>
      <c r="L35" t="s">
        <v>251</v>
      </c>
      <c r="M35">
        <v>681724</v>
      </c>
      <c r="N35" t="s">
        <v>277</v>
      </c>
      <c r="O35" s="5" t="b">
        <v>0</v>
      </c>
      <c r="P35" t="str">
        <f t="shared" si="0"/>
        <v>Del</v>
      </c>
      <c r="Q35" t="str">
        <f t="shared" si="1"/>
        <v>Del</v>
      </c>
    </row>
    <row r="36" spans="1:17" x14ac:dyDescent="0.25">
      <c r="A36">
        <v>681724</v>
      </c>
      <c r="B36">
        <v>1101</v>
      </c>
      <c r="C36" t="s">
        <v>951</v>
      </c>
      <c r="D36" t="s">
        <v>942</v>
      </c>
      <c r="E36" t="s">
        <v>943</v>
      </c>
      <c r="F36" t="s">
        <v>930</v>
      </c>
      <c r="G36" t="s">
        <v>871</v>
      </c>
      <c r="H36" t="s">
        <v>941</v>
      </c>
      <c r="I36" s="2">
        <v>43061</v>
      </c>
      <c r="J36" t="s">
        <v>873</v>
      </c>
      <c r="K36">
        <v>1</v>
      </c>
      <c r="L36" t="s">
        <v>251</v>
      </c>
      <c r="M36">
        <v>681724</v>
      </c>
      <c r="N36" t="s">
        <v>277</v>
      </c>
      <c r="O36" t="b">
        <v>1</v>
      </c>
      <c r="P36" t="str">
        <f t="shared" si="0"/>
        <v>Del</v>
      </c>
      <c r="Q36" t="str">
        <f t="shared" si="1"/>
        <v>Del</v>
      </c>
    </row>
    <row r="37" spans="1:17" x14ac:dyDescent="0.25">
      <c r="A37">
        <v>712560</v>
      </c>
      <c r="B37">
        <v>2741</v>
      </c>
      <c r="C37" t="s">
        <v>957</v>
      </c>
      <c r="D37" t="s">
        <v>905</v>
      </c>
      <c r="E37" t="s">
        <v>906</v>
      </c>
      <c r="F37" t="s">
        <v>17</v>
      </c>
      <c r="G37" t="s">
        <v>907</v>
      </c>
      <c r="H37" t="s">
        <v>872</v>
      </c>
      <c r="I37" s="2">
        <v>44706</v>
      </c>
      <c r="J37" t="s">
        <v>873</v>
      </c>
      <c r="K37">
        <v>1</v>
      </c>
      <c r="L37" t="s">
        <v>289</v>
      </c>
      <c r="M37">
        <v>712560</v>
      </c>
      <c r="N37" t="s">
        <v>87</v>
      </c>
      <c r="O37" t="b">
        <v>1</v>
      </c>
      <c r="P37" t="str">
        <f t="shared" si="0"/>
        <v>Del</v>
      </c>
      <c r="Q37" t="str">
        <f t="shared" si="1"/>
        <v>Del</v>
      </c>
    </row>
    <row r="38" spans="1:17" x14ac:dyDescent="0.25">
      <c r="A38">
        <v>711342</v>
      </c>
      <c r="B38">
        <v>2681</v>
      </c>
      <c r="C38" t="s">
        <v>958</v>
      </c>
      <c r="D38" t="s">
        <v>869</v>
      </c>
      <c r="E38" t="s">
        <v>870</v>
      </c>
      <c r="F38" t="s">
        <v>17</v>
      </c>
      <c r="G38" t="s">
        <v>871</v>
      </c>
      <c r="H38" t="s">
        <v>872</v>
      </c>
      <c r="I38" s="2">
        <v>44691</v>
      </c>
      <c r="J38" t="s">
        <v>873</v>
      </c>
      <c r="K38">
        <v>1</v>
      </c>
      <c r="L38" t="s">
        <v>251</v>
      </c>
      <c r="M38">
        <v>711342</v>
      </c>
      <c r="N38" t="s">
        <v>94</v>
      </c>
      <c r="O38" t="b">
        <v>1</v>
      </c>
      <c r="P38" t="str">
        <f t="shared" si="0"/>
        <v>Del</v>
      </c>
      <c r="Q38" t="str">
        <f t="shared" si="1"/>
        <v>Del</v>
      </c>
    </row>
    <row r="39" spans="1:17" s="3" customFormat="1" x14ac:dyDescent="0.25">
      <c r="A39" s="3">
        <v>729235</v>
      </c>
      <c r="B39" s="3">
        <v>4381</v>
      </c>
      <c r="C39" s="3" t="s">
        <v>959</v>
      </c>
      <c r="D39" s="3" t="s">
        <v>888</v>
      </c>
      <c r="E39" s="3" t="s">
        <v>889</v>
      </c>
      <c r="F39" s="3" t="s">
        <v>17</v>
      </c>
      <c r="G39" s="3" t="s">
        <v>878</v>
      </c>
      <c r="H39" s="3" t="s">
        <v>912</v>
      </c>
      <c r="I39" s="4">
        <v>45813</v>
      </c>
      <c r="J39" s="3" t="s">
        <v>873</v>
      </c>
      <c r="K39" s="3">
        <v>1</v>
      </c>
      <c r="L39" s="3" t="s">
        <v>251</v>
      </c>
      <c r="N39"/>
      <c r="O39" s="5" t="b">
        <v>0</v>
      </c>
      <c r="P39" t="str">
        <f t="shared" si="0"/>
        <v>Del</v>
      </c>
      <c r="Q39" t="str">
        <f t="shared" si="1"/>
        <v>Del</v>
      </c>
    </row>
    <row r="40" spans="1:17" x14ac:dyDescent="0.25">
      <c r="A40">
        <v>718928</v>
      </c>
      <c r="B40">
        <v>3741</v>
      </c>
      <c r="C40" t="s">
        <v>960</v>
      </c>
      <c r="D40" t="s">
        <v>961</v>
      </c>
      <c r="E40" t="s">
        <v>962</v>
      </c>
      <c r="F40" t="s">
        <v>17</v>
      </c>
      <c r="G40" t="s">
        <v>878</v>
      </c>
      <c r="H40" t="s">
        <v>963</v>
      </c>
      <c r="I40" s="2">
        <v>45240</v>
      </c>
      <c r="J40" t="s">
        <v>873</v>
      </c>
      <c r="K40">
        <v>1</v>
      </c>
      <c r="L40" t="s">
        <v>251</v>
      </c>
      <c r="M40">
        <v>718928</v>
      </c>
      <c r="N40" t="s">
        <v>360</v>
      </c>
      <c r="O40" t="b">
        <v>1</v>
      </c>
      <c r="P40" t="str">
        <f t="shared" si="0"/>
        <v>Del</v>
      </c>
      <c r="Q40" t="str">
        <f t="shared" si="1"/>
        <v>Del</v>
      </c>
    </row>
    <row r="41" spans="1:17" x14ac:dyDescent="0.25">
      <c r="A41">
        <v>714703</v>
      </c>
      <c r="B41">
        <v>3102</v>
      </c>
      <c r="C41" t="s">
        <v>960</v>
      </c>
      <c r="D41" t="s">
        <v>964</v>
      </c>
      <c r="E41" t="s">
        <v>965</v>
      </c>
      <c r="F41" t="s">
        <v>17</v>
      </c>
      <c r="G41" t="s">
        <v>878</v>
      </c>
      <c r="H41" t="s">
        <v>890</v>
      </c>
      <c r="I41" s="2">
        <v>44897</v>
      </c>
      <c r="J41" t="s">
        <v>873</v>
      </c>
      <c r="K41">
        <v>1</v>
      </c>
      <c r="L41" t="s">
        <v>251</v>
      </c>
      <c r="M41">
        <v>714703</v>
      </c>
      <c r="N41" t="s">
        <v>114</v>
      </c>
      <c r="O41" t="b">
        <v>1</v>
      </c>
      <c r="P41" t="str">
        <f t="shared" si="0"/>
        <v>Del</v>
      </c>
      <c r="Q41" t="str">
        <f t="shared" si="1"/>
        <v>Del</v>
      </c>
    </row>
    <row r="42" spans="1:17" x14ac:dyDescent="0.25">
      <c r="A42">
        <v>707638</v>
      </c>
      <c r="B42">
        <v>2321</v>
      </c>
      <c r="C42" t="s">
        <v>960</v>
      </c>
      <c r="D42" t="s">
        <v>948</v>
      </c>
      <c r="E42" t="s">
        <v>949</v>
      </c>
      <c r="F42" t="s">
        <v>17</v>
      </c>
      <c r="G42" t="s">
        <v>950</v>
      </c>
      <c r="H42" t="s">
        <v>890</v>
      </c>
      <c r="I42" s="2">
        <v>44403</v>
      </c>
      <c r="J42" t="s">
        <v>873</v>
      </c>
      <c r="K42">
        <v>1</v>
      </c>
      <c r="L42" t="s">
        <v>251</v>
      </c>
      <c r="M42">
        <v>707638</v>
      </c>
      <c r="N42" t="s">
        <v>111</v>
      </c>
      <c r="O42" t="b">
        <v>1</v>
      </c>
      <c r="P42" t="str">
        <f t="shared" si="0"/>
        <v>Del</v>
      </c>
      <c r="Q42" t="str">
        <f t="shared" si="1"/>
        <v>Del</v>
      </c>
    </row>
    <row r="43" spans="1:17" x14ac:dyDescent="0.25">
      <c r="A43">
        <v>722394</v>
      </c>
      <c r="B43">
        <v>3922</v>
      </c>
      <c r="C43" t="s">
        <v>966</v>
      </c>
      <c r="D43" t="s">
        <v>918</v>
      </c>
      <c r="E43" t="s">
        <v>919</v>
      </c>
      <c r="F43" t="s">
        <v>17</v>
      </c>
      <c r="G43" t="s">
        <v>878</v>
      </c>
      <c r="H43" t="s">
        <v>890</v>
      </c>
      <c r="I43" s="2">
        <v>45456</v>
      </c>
      <c r="J43" t="s">
        <v>873</v>
      </c>
      <c r="K43">
        <v>1</v>
      </c>
      <c r="L43" t="s">
        <v>251</v>
      </c>
      <c r="M43">
        <v>722394</v>
      </c>
      <c r="N43" t="s">
        <v>351</v>
      </c>
      <c r="O43" t="b">
        <v>1</v>
      </c>
      <c r="P43" t="str">
        <f t="shared" si="0"/>
        <v>Del</v>
      </c>
      <c r="Q43" t="str">
        <f t="shared" si="1"/>
        <v>Del</v>
      </c>
    </row>
    <row r="44" spans="1:17" x14ac:dyDescent="0.25">
      <c r="A44">
        <v>716405</v>
      </c>
      <c r="B44">
        <v>3341</v>
      </c>
      <c r="C44" t="s">
        <v>967</v>
      </c>
      <c r="D44" t="s">
        <v>968</v>
      </c>
      <c r="E44" t="s">
        <v>969</v>
      </c>
      <c r="F44" t="s">
        <v>17</v>
      </c>
      <c r="G44" t="s">
        <v>970</v>
      </c>
      <c r="H44" t="s">
        <v>890</v>
      </c>
      <c r="I44" s="2">
        <v>45037</v>
      </c>
      <c r="J44" t="s">
        <v>873</v>
      </c>
      <c r="K44">
        <v>1</v>
      </c>
      <c r="L44" t="s">
        <v>251</v>
      </c>
      <c r="M44">
        <v>716405</v>
      </c>
      <c r="N44" t="s">
        <v>121</v>
      </c>
      <c r="O44" t="b">
        <v>1</v>
      </c>
      <c r="P44" t="str">
        <f t="shared" si="0"/>
        <v>Del</v>
      </c>
      <c r="Q44" t="str">
        <f t="shared" si="1"/>
        <v>Del</v>
      </c>
    </row>
    <row r="45" spans="1:17" x14ac:dyDescent="0.25">
      <c r="A45">
        <v>708787</v>
      </c>
      <c r="B45">
        <v>2501</v>
      </c>
      <c r="C45" t="s">
        <v>971</v>
      </c>
      <c r="D45" t="s">
        <v>968</v>
      </c>
      <c r="E45" t="s">
        <v>969</v>
      </c>
      <c r="F45" t="s">
        <v>17</v>
      </c>
      <c r="G45" t="s">
        <v>970</v>
      </c>
      <c r="H45" t="s">
        <v>872</v>
      </c>
      <c r="I45" s="2">
        <v>44533</v>
      </c>
      <c r="J45" t="s">
        <v>873</v>
      </c>
      <c r="K45">
        <v>1</v>
      </c>
      <c r="L45" t="s">
        <v>251</v>
      </c>
      <c r="M45">
        <v>708787</v>
      </c>
      <c r="N45" t="s">
        <v>127</v>
      </c>
      <c r="O45" t="b">
        <v>1</v>
      </c>
      <c r="P45" t="str">
        <f t="shared" si="0"/>
        <v>Del</v>
      </c>
      <c r="Q45" t="str">
        <f t="shared" si="1"/>
        <v>Del</v>
      </c>
    </row>
    <row r="46" spans="1:17" x14ac:dyDescent="0.25">
      <c r="A46">
        <v>714113</v>
      </c>
      <c r="B46">
        <v>3022</v>
      </c>
      <c r="C46" t="s">
        <v>971</v>
      </c>
      <c r="D46" t="s">
        <v>972</v>
      </c>
      <c r="E46" t="s">
        <v>973</v>
      </c>
      <c r="F46" t="s">
        <v>17</v>
      </c>
      <c r="G46" t="s">
        <v>898</v>
      </c>
      <c r="H46" t="s">
        <v>872</v>
      </c>
      <c r="I46" s="2">
        <v>45065</v>
      </c>
      <c r="J46" t="s">
        <v>873</v>
      </c>
      <c r="K46">
        <v>1</v>
      </c>
      <c r="L46" t="s">
        <v>251</v>
      </c>
      <c r="M46">
        <v>714113</v>
      </c>
      <c r="N46" t="s">
        <v>130</v>
      </c>
      <c r="O46" t="b">
        <v>1</v>
      </c>
      <c r="P46" t="str">
        <f t="shared" si="0"/>
        <v>Del</v>
      </c>
      <c r="Q46" t="str">
        <f t="shared" si="1"/>
        <v>Del</v>
      </c>
    </row>
    <row r="47" spans="1:17" x14ac:dyDescent="0.25">
      <c r="A47">
        <v>716542</v>
      </c>
      <c r="B47">
        <v>3461</v>
      </c>
      <c r="C47" t="s">
        <v>974</v>
      </c>
      <c r="D47" t="s">
        <v>913</v>
      </c>
      <c r="E47" t="s">
        <v>914</v>
      </c>
      <c r="F47" t="s">
        <v>17</v>
      </c>
      <c r="G47" t="s">
        <v>878</v>
      </c>
      <c r="H47" t="s">
        <v>890</v>
      </c>
      <c r="I47" s="2">
        <v>45065</v>
      </c>
      <c r="J47" t="s">
        <v>873</v>
      </c>
      <c r="K47">
        <v>1</v>
      </c>
      <c r="L47" t="s">
        <v>289</v>
      </c>
      <c r="M47">
        <v>716542</v>
      </c>
      <c r="N47" t="s">
        <v>132</v>
      </c>
      <c r="O47" t="b">
        <v>1</v>
      </c>
      <c r="P47" t="str">
        <f t="shared" si="0"/>
        <v>Del</v>
      </c>
      <c r="Q47" t="str">
        <f t="shared" si="1"/>
        <v>Del</v>
      </c>
    </row>
    <row r="48" spans="1:17" x14ac:dyDescent="0.25">
      <c r="A48">
        <v>716541</v>
      </c>
      <c r="B48">
        <v>3501</v>
      </c>
      <c r="C48" t="s">
        <v>974</v>
      </c>
      <c r="D48" t="s">
        <v>915</v>
      </c>
      <c r="E48" t="s">
        <v>916</v>
      </c>
      <c r="F48" t="s">
        <v>17</v>
      </c>
      <c r="G48" t="s">
        <v>878</v>
      </c>
      <c r="H48" t="s">
        <v>890</v>
      </c>
      <c r="I48" s="2">
        <v>45072</v>
      </c>
      <c r="J48" t="s">
        <v>873</v>
      </c>
      <c r="K48">
        <v>0</v>
      </c>
      <c r="L48" t="s">
        <v>289</v>
      </c>
      <c r="M48">
        <v>716542</v>
      </c>
      <c r="N48" t="s">
        <v>132</v>
      </c>
      <c r="O48" s="5" t="b">
        <v>0</v>
      </c>
      <c r="P48" t="str">
        <f t="shared" si="0"/>
        <v>Del</v>
      </c>
      <c r="Q48" t="str">
        <f t="shared" si="1"/>
        <v>Del</v>
      </c>
    </row>
    <row r="49" spans="1:17" x14ac:dyDescent="0.25">
      <c r="A49">
        <v>718556</v>
      </c>
      <c r="B49">
        <v>3721</v>
      </c>
      <c r="C49" t="s">
        <v>975</v>
      </c>
      <c r="D49" t="s">
        <v>918</v>
      </c>
      <c r="E49" t="s">
        <v>919</v>
      </c>
      <c r="F49" t="s">
        <v>17</v>
      </c>
      <c r="G49" t="s">
        <v>878</v>
      </c>
      <c r="H49" t="s">
        <v>872</v>
      </c>
      <c r="I49" s="2">
        <v>45233</v>
      </c>
      <c r="J49" t="s">
        <v>873</v>
      </c>
      <c r="K49">
        <v>1</v>
      </c>
      <c r="L49" t="s">
        <v>251</v>
      </c>
      <c r="M49">
        <v>718556</v>
      </c>
      <c r="N49" t="s">
        <v>138</v>
      </c>
      <c r="O49" t="b">
        <v>1</v>
      </c>
      <c r="P49" t="str">
        <f t="shared" si="0"/>
        <v>Del</v>
      </c>
      <c r="Q49" t="str">
        <f t="shared" si="1"/>
        <v>Del</v>
      </c>
    </row>
    <row r="50" spans="1:17" x14ac:dyDescent="0.25">
      <c r="A50">
        <v>716676</v>
      </c>
      <c r="B50">
        <v>3621</v>
      </c>
      <c r="C50" t="s">
        <v>976</v>
      </c>
      <c r="D50" t="s">
        <v>977</v>
      </c>
      <c r="E50" t="s">
        <v>978</v>
      </c>
      <c r="F50" t="s">
        <v>17</v>
      </c>
      <c r="G50" t="s">
        <v>894</v>
      </c>
      <c r="H50" t="s">
        <v>912</v>
      </c>
      <c r="I50" s="2">
        <v>45191</v>
      </c>
      <c r="J50" t="s">
        <v>873</v>
      </c>
      <c r="K50">
        <v>0</v>
      </c>
      <c r="L50" t="s">
        <v>251</v>
      </c>
      <c r="M50">
        <v>682593</v>
      </c>
      <c r="N50" t="s">
        <v>143</v>
      </c>
      <c r="O50" s="5" t="b">
        <v>0</v>
      </c>
      <c r="P50" t="str">
        <f t="shared" si="0"/>
        <v>Del</v>
      </c>
      <c r="Q50" t="str">
        <f t="shared" si="1"/>
        <v>Del</v>
      </c>
    </row>
    <row r="51" spans="1:17" x14ac:dyDescent="0.25">
      <c r="A51">
        <v>682593</v>
      </c>
      <c r="B51">
        <v>1127</v>
      </c>
      <c r="C51" t="s">
        <v>976</v>
      </c>
      <c r="D51" t="s">
        <v>979</v>
      </c>
      <c r="E51" t="s">
        <v>980</v>
      </c>
      <c r="F51" t="s">
        <v>17</v>
      </c>
      <c r="G51" t="s">
        <v>894</v>
      </c>
      <c r="H51" t="s">
        <v>912</v>
      </c>
      <c r="I51" s="2">
        <v>43088</v>
      </c>
      <c r="J51" t="s">
        <v>873</v>
      </c>
      <c r="K51">
        <v>1</v>
      </c>
      <c r="L51" t="s">
        <v>251</v>
      </c>
      <c r="M51">
        <v>682593</v>
      </c>
      <c r="N51" t="s">
        <v>143</v>
      </c>
      <c r="O51" t="b">
        <v>1</v>
      </c>
      <c r="P51" t="str">
        <f t="shared" si="0"/>
        <v>Del</v>
      </c>
      <c r="Q51" t="str">
        <f t="shared" si="1"/>
        <v>Del</v>
      </c>
    </row>
    <row r="52" spans="1:17" x14ac:dyDescent="0.25">
      <c r="A52">
        <v>684492</v>
      </c>
      <c r="B52">
        <v>1143</v>
      </c>
      <c r="C52" t="s">
        <v>976</v>
      </c>
      <c r="D52" t="s">
        <v>892</v>
      </c>
      <c r="E52" t="s">
        <v>893</v>
      </c>
      <c r="F52" t="s">
        <v>17</v>
      </c>
      <c r="G52" t="s">
        <v>894</v>
      </c>
      <c r="H52" t="s">
        <v>912</v>
      </c>
      <c r="I52" s="2">
        <v>43200</v>
      </c>
      <c r="J52" t="s">
        <v>873</v>
      </c>
      <c r="K52">
        <v>0</v>
      </c>
      <c r="L52" t="s">
        <v>251</v>
      </c>
      <c r="M52">
        <v>682593</v>
      </c>
      <c r="N52" t="s">
        <v>143</v>
      </c>
      <c r="O52" s="5" t="b">
        <v>0</v>
      </c>
      <c r="P52" t="str">
        <f t="shared" si="0"/>
        <v>Del</v>
      </c>
      <c r="Q52" t="str">
        <f t="shared" si="1"/>
        <v>Del</v>
      </c>
    </row>
    <row r="53" spans="1:17" x14ac:dyDescent="0.25">
      <c r="A53">
        <v>726052</v>
      </c>
      <c r="B53">
        <v>4141</v>
      </c>
      <c r="C53" t="s">
        <v>976</v>
      </c>
      <c r="D53" t="s">
        <v>918</v>
      </c>
      <c r="E53" t="s">
        <v>919</v>
      </c>
      <c r="F53" t="s">
        <v>17</v>
      </c>
      <c r="G53" t="s">
        <v>907</v>
      </c>
      <c r="H53" t="s">
        <v>981</v>
      </c>
      <c r="I53" s="2">
        <v>45637</v>
      </c>
      <c r="J53" t="s">
        <v>873</v>
      </c>
      <c r="K53">
        <v>1</v>
      </c>
      <c r="L53" t="s">
        <v>251</v>
      </c>
      <c r="M53">
        <v>726052</v>
      </c>
      <c r="N53" t="s">
        <v>982</v>
      </c>
      <c r="O53" t="b">
        <v>1</v>
      </c>
      <c r="P53" t="str">
        <f t="shared" si="0"/>
        <v>Del</v>
      </c>
      <c r="Q53" t="str">
        <f t="shared" si="1"/>
        <v>Del</v>
      </c>
    </row>
    <row r="54" spans="1:17" x14ac:dyDescent="0.25">
      <c r="A54">
        <v>682592</v>
      </c>
      <c r="B54">
        <v>1126</v>
      </c>
      <c r="C54" t="s">
        <v>976</v>
      </c>
      <c r="D54" t="s">
        <v>983</v>
      </c>
      <c r="E54" t="s">
        <v>984</v>
      </c>
      <c r="F54" t="s">
        <v>17</v>
      </c>
      <c r="G54" t="s">
        <v>907</v>
      </c>
      <c r="H54" t="s">
        <v>872</v>
      </c>
      <c r="I54" s="2">
        <v>43088</v>
      </c>
      <c r="J54" t="s">
        <v>873</v>
      </c>
      <c r="K54">
        <v>1</v>
      </c>
      <c r="L54" t="s">
        <v>251</v>
      </c>
      <c r="M54">
        <v>682592</v>
      </c>
      <c r="N54" t="s">
        <v>146</v>
      </c>
      <c r="O54" t="b">
        <v>1</v>
      </c>
      <c r="P54" t="str">
        <f t="shared" si="0"/>
        <v>Del</v>
      </c>
      <c r="Q54" t="str">
        <f t="shared" si="1"/>
        <v>Del</v>
      </c>
    </row>
    <row r="55" spans="1:17" x14ac:dyDescent="0.25">
      <c r="A55">
        <v>684491</v>
      </c>
      <c r="B55">
        <v>1142</v>
      </c>
      <c r="C55" t="s">
        <v>976</v>
      </c>
      <c r="D55" t="s">
        <v>905</v>
      </c>
      <c r="E55" t="s">
        <v>906</v>
      </c>
      <c r="F55" t="s">
        <v>17</v>
      </c>
      <c r="G55" t="s">
        <v>907</v>
      </c>
      <c r="H55" t="s">
        <v>872</v>
      </c>
      <c r="I55" s="2">
        <v>43200</v>
      </c>
      <c r="J55" t="s">
        <v>873</v>
      </c>
      <c r="K55">
        <v>0</v>
      </c>
      <c r="L55" t="s">
        <v>251</v>
      </c>
      <c r="M55">
        <v>682592</v>
      </c>
      <c r="N55" t="s">
        <v>146</v>
      </c>
      <c r="O55" s="5" t="b">
        <v>0</v>
      </c>
      <c r="P55" t="str">
        <f t="shared" si="0"/>
        <v>Del</v>
      </c>
      <c r="Q55" t="str">
        <f t="shared" si="1"/>
        <v>Del</v>
      </c>
    </row>
    <row r="56" spans="1:17" x14ac:dyDescent="0.25">
      <c r="A56">
        <v>703827</v>
      </c>
      <c r="B56">
        <v>2001</v>
      </c>
      <c r="C56" t="s">
        <v>985</v>
      </c>
      <c r="D56" t="s">
        <v>936</v>
      </c>
      <c r="E56" t="s">
        <v>937</v>
      </c>
      <c r="F56" t="s">
        <v>17</v>
      </c>
      <c r="G56" t="s">
        <v>878</v>
      </c>
      <c r="H56" t="s">
        <v>912</v>
      </c>
      <c r="I56" s="2">
        <v>44253</v>
      </c>
      <c r="J56" t="s">
        <v>873</v>
      </c>
      <c r="K56">
        <v>1</v>
      </c>
      <c r="L56" t="s">
        <v>251</v>
      </c>
      <c r="M56">
        <v>703827</v>
      </c>
      <c r="N56" t="s">
        <v>168</v>
      </c>
      <c r="O56" t="b">
        <v>1</v>
      </c>
      <c r="P56" t="str">
        <f t="shared" si="0"/>
        <v>Del</v>
      </c>
      <c r="Q56" t="str">
        <f t="shared" si="1"/>
        <v>Del</v>
      </c>
    </row>
    <row r="57" spans="1:17" x14ac:dyDescent="0.25">
      <c r="A57">
        <v>713420</v>
      </c>
      <c r="B57">
        <v>2821</v>
      </c>
      <c r="C57" t="s">
        <v>986</v>
      </c>
      <c r="D57" t="s">
        <v>987</v>
      </c>
      <c r="E57" t="s">
        <v>988</v>
      </c>
      <c r="F57" t="s">
        <v>17</v>
      </c>
      <c r="G57" t="s">
        <v>878</v>
      </c>
      <c r="H57" t="s">
        <v>872</v>
      </c>
      <c r="I57" s="2">
        <v>44749</v>
      </c>
      <c r="J57" t="s">
        <v>873</v>
      </c>
      <c r="K57">
        <v>0</v>
      </c>
      <c r="L57" t="s">
        <v>251</v>
      </c>
      <c r="M57">
        <v>713420</v>
      </c>
      <c r="N57" t="s">
        <v>151</v>
      </c>
      <c r="O57" t="b">
        <v>1</v>
      </c>
      <c r="P57" t="str">
        <f t="shared" si="0"/>
        <v>Del</v>
      </c>
      <c r="Q57" t="str">
        <f t="shared" si="1"/>
        <v>Del</v>
      </c>
    </row>
    <row r="58" spans="1:17" x14ac:dyDescent="0.25">
      <c r="A58">
        <v>708784</v>
      </c>
      <c r="B58">
        <v>2461</v>
      </c>
      <c r="C58" t="s">
        <v>986</v>
      </c>
      <c r="D58" t="s">
        <v>989</v>
      </c>
      <c r="E58" t="s">
        <v>990</v>
      </c>
      <c r="F58" t="s">
        <v>17</v>
      </c>
      <c r="G58" t="s">
        <v>878</v>
      </c>
      <c r="H58" t="s">
        <v>872</v>
      </c>
      <c r="I58" s="2">
        <v>44568</v>
      </c>
      <c r="J58" t="s">
        <v>873</v>
      </c>
      <c r="K58">
        <v>1</v>
      </c>
      <c r="L58" t="s">
        <v>251</v>
      </c>
      <c r="M58">
        <v>708784</v>
      </c>
      <c r="N58" t="s">
        <v>148</v>
      </c>
      <c r="O58" t="b">
        <v>1</v>
      </c>
      <c r="P58" t="str">
        <f t="shared" si="0"/>
        <v>Del</v>
      </c>
      <c r="Q58" t="str">
        <f t="shared" si="1"/>
        <v>Del</v>
      </c>
    </row>
    <row r="59" spans="1:17" x14ac:dyDescent="0.25">
      <c r="A59">
        <v>716863</v>
      </c>
      <c r="B59">
        <v>3401</v>
      </c>
      <c r="C59" t="s">
        <v>991</v>
      </c>
      <c r="D59" t="s">
        <v>869</v>
      </c>
      <c r="E59" t="s">
        <v>870</v>
      </c>
      <c r="F59" t="s">
        <v>17</v>
      </c>
      <c r="G59" t="s">
        <v>871</v>
      </c>
      <c r="H59" t="s">
        <v>872</v>
      </c>
      <c r="I59" s="2">
        <v>45072</v>
      </c>
      <c r="J59" t="s">
        <v>873</v>
      </c>
      <c r="K59">
        <v>1</v>
      </c>
      <c r="L59" t="s">
        <v>251</v>
      </c>
      <c r="M59">
        <v>716863</v>
      </c>
      <c r="N59" t="s">
        <v>154</v>
      </c>
      <c r="O59" t="b">
        <v>1</v>
      </c>
      <c r="P59" t="str">
        <f t="shared" si="0"/>
        <v>Del</v>
      </c>
      <c r="Q59" t="str">
        <f t="shared" si="1"/>
        <v>Del</v>
      </c>
    </row>
    <row r="60" spans="1:17" x14ac:dyDescent="0.25">
      <c r="A60">
        <v>717479</v>
      </c>
      <c r="B60">
        <v>3561</v>
      </c>
      <c r="C60" t="s">
        <v>991</v>
      </c>
      <c r="D60" t="s">
        <v>992</v>
      </c>
      <c r="E60" t="s">
        <v>993</v>
      </c>
      <c r="F60" t="s">
        <v>17</v>
      </c>
      <c r="G60" t="s">
        <v>871</v>
      </c>
      <c r="H60" t="s">
        <v>872</v>
      </c>
      <c r="I60" s="2">
        <v>45107</v>
      </c>
      <c r="J60" t="s">
        <v>873</v>
      </c>
      <c r="K60">
        <v>0</v>
      </c>
      <c r="L60" t="s">
        <v>251</v>
      </c>
      <c r="M60">
        <v>716863</v>
      </c>
      <c r="N60" t="s">
        <v>154</v>
      </c>
      <c r="O60" s="5" t="b">
        <v>0</v>
      </c>
      <c r="P60" t="str">
        <f t="shared" si="0"/>
        <v>Del</v>
      </c>
      <c r="Q60" t="str">
        <f t="shared" si="1"/>
        <v>Del</v>
      </c>
    </row>
    <row r="61" spans="1:17" s="3" customFormat="1" x14ac:dyDescent="0.25">
      <c r="A61" s="3">
        <v>727794</v>
      </c>
      <c r="B61" s="3">
        <v>4321</v>
      </c>
      <c r="C61" s="3" t="s">
        <v>994</v>
      </c>
      <c r="D61" s="3" t="s">
        <v>995</v>
      </c>
      <c r="E61" s="3" t="s">
        <v>996</v>
      </c>
      <c r="F61" s="3" t="s">
        <v>17</v>
      </c>
      <c r="G61" s="3" t="s">
        <v>878</v>
      </c>
      <c r="H61" s="3" t="s">
        <v>981</v>
      </c>
      <c r="I61" s="4">
        <v>45785</v>
      </c>
      <c r="J61" s="3" t="s">
        <v>873</v>
      </c>
      <c r="K61" s="3">
        <v>1</v>
      </c>
      <c r="L61" s="3" t="s">
        <v>251</v>
      </c>
      <c r="N61"/>
      <c r="O61" s="5" t="b">
        <v>0</v>
      </c>
      <c r="P61" t="str">
        <f t="shared" si="0"/>
        <v>Del</v>
      </c>
      <c r="Q61" t="str">
        <f t="shared" si="1"/>
        <v>Del</v>
      </c>
    </row>
    <row r="62" spans="1:17" x14ac:dyDescent="0.25">
      <c r="A62" t="s">
        <v>366</v>
      </c>
      <c r="B62">
        <v>3961</v>
      </c>
      <c r="C62" t="s">
        <v>997</v>
      </c>
      <c r="D62" t="s">
        <v>945</v>
      </c>
      <c r="E62" t="s">
        <v>946</v>
      </c>
      <c r="F62" t="s">
        <v>930</v>
      </c>
      <c r="G62" t="s">
        <v>871</v>
      </c>
      <c r="H62" t="s">
        <v>941</v>
      </c>
      <c r="I62" s="2">
        <v>45537</v>
      </c>
      <c r="J62" t="s">
        <v>873</v>
      </c>
      <c r="K62">
        <v>1</v>
      </c>
      <c r="L62" t="s">
        <v>251</v>
      </c>
      <c r="M62" t="s">
        <v>366</v>
      </c>
      <c r="N62" t="s">
        <v>365</v>
      </c>
      <c r="O62" t="b">
        <v>1</v>
      </c>
      <c r="P62" t="str">
        <f t="shared" si="0"/>
        <v>Del</v>
      </c>
      <c r="Q62" t="str">
        <f t="shared" si="1"/>
        <v>Del</v>
      </c>
    </row>
    <row r="63" spans="1:17" x14ac:dyDescent="0.25">
      <c r="A63">
        <v>720798</v>
      </c>
      <c r="B63">
        <v>3821</v>
      </c>
      <c r="C63" t="s">
        <v>998</v>
      </c>
      <c r="D63" t="s">
        <v>942</v>
      </c>
      <c r="E63" t="s">
        <v>943</v>
      </c>
      <c r="F63" t="s">
        <v>930</v>
      </c>
      <c r="G63" t="s">
        <v>907</v>
      </c>
      <c r="H63" t="s">
        <v>941</v>
      </c>
      <c r="I63" s="2">
        <v>45355</v>
      </c>
      <c r="J63" t="s">
        <v>873</v>
      </c>
      <c r="K63">
        <v>1</v>
      </c>
      <c r="L63" t="s">
        <v>289</v>
      </c>
      <c r="M63">
        <v>720798</v>
      </c>
      <c r="N63" t="s">
        <v>346</v>
      </c>
      <c r="O63" t="b">
        <v>1</v>
      </c>
      <c r="P63" t="str">
        <f t="shared" si="0"/>
        <v>Del</v>
      </c>
      <c r="Q63" t="str">
        <f t="shared" si="1"/>
        <v>Del</v>
      </c>
    </row>
    <row r="64" spans="1:17" x14ac:dyDescent="0.25">
      <c r="A64">
        <v>714941</v>
      </c>
      <c r="B64">
        <v>3101</v>
      </c>
      <c r="C64" t="s">
        <v>999</v>
      </c>
      <c r="D64" t="s">
        <v>1000</v>
      </c>
      <c r="E64" t="s">
        <v>1001</v>
      </c>
      <c r="F64" t="s">
        <v>17</v>
      </c>
      <c r="G64" t="s">
        <v>878</v>
      </c>
      <c r="H64" t="s">
        <v>895</v>
      </c>
      <c r="I64" s="2">
        <v>44904</v>
      </c>
      <c r="J64" t="s">
        <v>873</v>
      </c>
      <c r="K64">
        <v>1</v>
      </c>
      <c r="L64" t="s">
        <v>251</v>
      </c>
      <c r="M64">
        <v>714941</v>
      </c>
      <c r="N64" t="s">
        <v>159</v>
      </c>
      <c r="O64" t="b">
        <v>1</v>
      </c>
      <c r="P64" t="str">
        <f t="shared" si="0"/>
        <v>Del</v>
      </c>
      <c r="Q64" t="str">
        <f t="shared" si="1"/>
        <v>Del</v>
      </c>
    </row>
    <row r="65" spans="1:18" x14ac:dyDescent="0.25">
      <c r="A65">
        <v>682588</v>
      </c>
      <c r="B65">
        <v>1122</v>
      </c>
      <c r="C65" t="s">
        <v>1002</v>
      </c>
      <c r="D65" t="s">
        <v>1003</v>
      </c>
      <c r="E65" t="s">
        <v>1004</v>
      </c>
      <c r="F65" t="s">
        <v>17</v>
      </c>
      <c r="G65" t="s">
        <v>878</v>
      </c>
      <c r="H65" t="s">
        <v>872</v>
      </c>
      <c r="I65" s="2">
        <v>43082</v>
      </c>
      <c r="J65" t="s">
        <v>873</v>
      </c>
      <c r="K65">
        <v>1</v>
      </c>
      <c r="L65" t="s">
        <v>251</v>
      </c>
      <c r="M65">
        <v>682588</v>
      </c>
      <c r="N65" t="s">
        <v>1005</v>
      </c>
      <c r="O65" t="b">
        <v>1</v>
      </c>
      <c r="P65" t="str">
        <f t="shared" si="0"/>
        <v>Del</v>
      </c>
      <c r="Q65" t="str">
        <f t="shared" si="1"/>
        <v>Del</v>
      </c>
    </row>
    <row r="66" spans="1:18" x14ac:dyDescent="0.25">
      <c r="A66">
        <v>688330</v>
      </c>
      <c r="B66">
        <v>1301</v>
      </c>
      <c r="C66" t="s">
        <v>1002</v>
      </c>
      <c r="D66" t="s">
        <v>1006</v>
      </c>
      <c r="E66" t="s">
        <v>1007</v>
      </c>
      <c r="F66" t="s">
        <v>930</v>
      </c>
      <c r="G66" t="s">
        <v>878</v>
      </c>
      <c r="H66" t="s">
        <v>1008</v>
      </c>
      <c r="I66" s="2">
        <v>43374</v>
      </c>
      <c r="J66" t="s">
        <v>873</v>
      </c>
      <c r="K66">
        <v>1</v>
      </c>
      <c r="L66" t="s">
        <v>251</v>
      </c>
      <c r="M66">
        <v>688330</v>
      </c>
      <c r="N66" t="s">
        <v>336</v>
      </c>
      <c r="O66" t="b">
        <v>1</v>
      </c>
      <c r="P66" t="str">
        <f t="shared" si="0"/>
        <v>Del</v>
      </c>
      <c r="Q66" t="str">
        <f t="shared" si="1"/>
        <v>Del</v>
      </c>
    </row>
    <row r="67" spans="1:18" x14ac:dyDescent="0.25">
      <c r="A67">
        <v>718930</v>
      </c>
      <c r="B67">
        <v>3882</v>
      </c>
      <c r="C67" t="s">
        <v>1002</v>
      </c>
      <c r="D67" t="s">
        <v>1009</v>
      </c>
      <c r="E67" t="s">
        <v>1010</v>
      </c>
      <c r="F67" t="s">
        <v>930</v>
      </c>
      <c r="G67" t="s">
        <v>878</v>
      </c>
      <c r="H67" t="s">
        <v>1011</v>
      </c>
      <c r="I67" s="2">
        <v>45373</v>
      </c>
      <c r="J67" t="s">
        <v>873</v>
      </c>
      <c r="K67">
        <v>1</v>
      </c>
      <c r="L67" t="s">
        <v>251</v>
      </c>
      <c r="M67">
        <v>718930</v>
      </c>
      <c r="N67" t="s">
        <v>343</v>
      </c>
      <c r="O67" t="b">
        <v>1</v>
      </c>
      <c r="P67" t="str">
        <f t="shared" ref="P67:P130" si="2">IF(LEN(A67)&gt;8,"TF","Del")</f>
        <v>Del</v>
      </c>
      <c r="Q67" t="str">
        <f t="shared" ref="Q67:Q130" si="3">IF(LEN(M67)&gt;8,"TF","Del")</f>
        <v>Del</v>
      </c>
    </row>
    <row r="68" spans="1:18" x14ac:dyDescent="0.25">
      <c r="A68">
        <v>689206</v>
      </c>
      <c r="B68">
        <v>1302</v>
      </c>
      <c r="C68" t="s">
        <v>1002</v>
      </c>
      <c r="D68" t="s">
        <v>1012</v>
      </c>
      <c r="E68" t="s">
        <v>1013</v>
      </c>
      <c r="F68" t="s">
        <v>930</v>
      </c>
      <c r="G68" t="s">
        <v>878</v>
      </c>
      <c r="H68" t="s">
        <v>934</v>
      </c>
      <c r="I68" s="2">
        <v>43374</v>
      </c>
      <c r="J68" t="s">
        <v>873</v>
      </c>
      <c r="K68">
        <v>1</v>
      </c>
      <c r="L68" t="s">
        <v>251</v>
      </c>
      <c r="M68">
        <v>689206</v>
      </c>
      <c r="N68" t="s">
        <v>294</v>
      </c>
      <c r="O68" t="b">
        <v>1</v>
      </c>
      <c r="P68" t="str">
        <f t="shared" si="2"/>
        <v>Del</v>
      </c>
      <c r="Q68" t="str">
        <f t="shared" si="3"/>
        <v>Del</v>
      </c>
    </row>
    <row r="69" spans="1:18" x14ac:dyDescent="0.25">
      <c r="A69" t="s">
        <v>1014</v>
      </c>
      <c r="B69">
        <v>4161</v>
      </c>
      <c r="C69" t="s">
        <v>1015</v>
      </c>
      <c r="D69" t="s">
        <v>945</v>
      </c>
      <c r="E69" t="s">
        <v>946</v>
      </c>
      <c r="F69" t="s">
        <v>930</v>
      </c>
      <c r="G69" t="s">
        <v>871</v>
      </c>
      <c r="H69" t="s">
        <v>941</v>
      </c>
      <c r="I69" s="2">
        <v>45723</v>
      </c>
      <c r="J69" t="s">
        <v>873</v>
      </c>
      <c r="K69">
        <v>1</v>
      </c>
      <c r="L69" t="s">
        <v>251</v>
      </c>
      <c r="M69" t="s">
        <v>1014</v>
      </c>
      <c r="N69" t="s">
        <v>1016</v>
      </c>
      <c r="O69" t="b">
        <v>1</v>
      </c>
      <c r="P69" t="str">
        <f t="shared" si="2"/>
        <v>Del</v>
      </c>
      <c r="Q69" t="str">
        <f t="shared" si="3"/>
        <v>Del</v>
      </c>
    </row>
    <row r="70" spans="1:18" x14ac:dyDescent="0.25">
      <c r="A70">
        <v>693779</v>
      </c>
      <c r="B70">
        <v>1541</v>
      </c>
      <c r="C70" t="s">
        <v>1017</v>
      </c>
      <c r="D70" t="s">
        <v>1018</v>
      </c>
      <c r="E70" t="s">
        <v>1019</v>
      </c>
      <c r="F70" t="s">
        <v>930</v>
      </c>
      <c r="G70" t="s">
        <v>898</v>
      </c>
      <c r="H70" t="s">
        <v>1020</v>
      </c>
      <c r="I70" s="2">
        <v>43595</v>
      </c>
      <c r="J70" t="s">
        <v>873</v>
      </c>
      <c r="K70">
        <v>1</v>
      </c>
      <c r="L70" t="s">
        <v>251</v>
      </c>
      <c r="M70">
        <v>693779</v>
      </c>
      <c r="N70" t="s">
        <v>304</v>
      </c>
      <c r="O70" t="b">
        <v>1</v>
      </c>
      <c r="P70" t="str">
        <f t="shared" si="2"/>
        <v>Del</v>
      </c>
      <c r="Q70" t="str">
        <f t="shared" si="3"/>
        <v>Del</v>
      </c>
    </row>
    <row r="71" spans="1:18" x14ac:dyDescent="0.25">
      <c r="A71" t="s">
        <v>308</v>
      </c>
      <c r="B71">
        <v>2568</v>
      </c>
      <c r="C71" t="s">
        <v>1017</v>
      </c>
      <c r="D71" t="s">
        <v>932</v>
      </c>
      <c r="E71" t="s">
        <v>933</v>
      </c>
      <c r="F71" t="s">
        <v>930</v>
      </c>
      <c r="G71" t="s">
        <v>898</v>
      </c>
      <c r="H71" t="s">
        <v>872</v>
      </c>
      <c r="I71" s="2">
        <v>44599</v>
      </c>
      <c r="J71" t="s">
        <v>873</v>
      </c>
      <c r="K71">
        <v>1</v>
      </c>
      <c r="L71" t="s">
        <v>251</v>
      </c>
      <c r="M71" t="s">
        <v>308</v>
      </c>
      <c r="N71" t="s">
        <v>307</v>
      </c>
      <c r="O71" t="b">
        <v>1</v>
      </c>
      <c r="P71" t="str">
        <f t="shared" si="2"/>
        <v>Del</v>
      </c>
      <c r="Q71" t="str">
        <f t="shared" si="3"/>
        <v>Del</v>
      </c>
    </row>
    <row r="72" spans="1:18" x14ac:dyDescent="0.25">
      <c r="A72">
        <v>689942</v>
      </c>
      <c r="B72">
        <v>1361</v>
      </c>
      <c r="C72" t="s">
        <v>1017</v>
      </c>
      <c r="D72" t="s">
        <v>1021</v>
      </c>
      <c r="E72" t="s">
        <v>1022</v>
      </c>
      <c r="F72" t="s">
        <v>930</v>
      </c>
      <c r="G72" t="s">
        <v>871</v>
      </c>
      <c r="H72" t="s">
        <v>1023</v>
      </c>
      <c r="I72" s="2">
        <v>43405</v>
      </c>
      <c r="J72" t="s">
        <v>873</v>
      </c>
      <c r="K72">
        <v>1</v>
      </c>
      <c r="L72" t="s">
        <v>251</v>
      </c>
      <c r="M72">
        <v>689942</v>
      </c>
      <c r="N72" t="s">
        <v>301</v>
      </c>
      <c r="O72" t="b">
        <v>1</v>
      </c>
      <c r="P72" t="str">
        <f t="shared" si="2"/>
        <v>Del</v>
      </c>
      <c r="Q72" t="str">
        <f t="shared" si="3"/>
        <v>Del</v>
      </c>
    </row>
    <row r="73" spans="1:18" x14ac:dyDescent="0.25">
      <c r="A73">
        <v>727784</v>
      </c>
      <c r="B73">
        <v>4282</v>
      </c>
      <c r="C73" t="s">
        <v>1017</v>
      </c>
      <c r="D73" t="s">
        <v>901</v>
      </c>
      <c r="E73" t="s">
        <v>902</v>
      </c>
      <c r="F73" t="s">
        <v>930</v>
      </c>
      <c r="G73" t="s">
        <v>871</v>
      </c>
      <c r="H73" t="s">
        <v>1023</v>
      </c>
      <c r="I73" s="2">
        <v>45783</v>
      </c>
      <c r="J73" t="s">
        <v>873</v>
      </c>
      <c r="K73">
        <v>0</v>
      </c>
      <c r="L73" t="s">
        <v>251</v>
      </c>
      <c r="M73">
        <v>689942</v>
      </c>
      <c r="N73" t="s">
        <v>301</v>
      </c>
      <c r="O73" s="5" t="b">
        <v>0</v>
      </c>
      <c r="P73" t="str">
        <f t="shared" si="2"/>
        <v>Del</v>
      </c>
      <c r="Q73" t="str">
        <f t="shared" si="3"/>
        <v>Del</v>
      </c>
    </row>
    <row r="74" spans="1:18" x14ac:dyDescent="0.25">
      <c r="A74">
        <v>728110</v>
      </c>
      <c r="B74">
        <v>4241</v>
      </c>
      <c r="C74" t="s">
        <v>1024</v>
      </c>
      <c r="D74" t="s">
        <v>892</v>
      </c>
      <c r="E74" t="s">
        <v>893</v>
      </c>
      <c r="F74" t="s">
        <v>17</v>
      </c>
      <c r="G74" t="s">
        <v>894</v>
      </c>
      <c r="H74" t="s">
        <v>872</v>
      </c>
      <c r="I74" s="2">
        <v>45764</v>
      </c>
      <c r="J74" t="s">
        <v>873</v>
      </c>
      <c r="K74">
        <v>1</v>
      </c>
      <c r="L74" t="s">
        <v>251</v>
      </c>
      <c r="M74" t="s">
        <v>165</v>
      </c>
      <c r="N74" t="s">
        <v>449</v>
      </c>
      <c r="O74" s="5" t="b">
        <v>0</v>
      </c>
      <c r="P74" t="str">
        <f t="shared" si="2"/>
        <v>Del</v>
      </c>
      <c r="Q74" t="str">
        <f t="shared" si="3"/>
        <v>TF</v>
      </c>
      <c r="R74" t="s">
        <v>1025</v>
      </c>
    </row>
    <row r="75" spans="1:18" x14ac:dyDescent="0.25">
      <c r="A75">
        <v>728114</v>
      </c>
      <c r="B75">
        <v>4242</v>
      </c>
      <c r="C75" t="s">
        <v>1024</v>
      </c>
      <c r="D75" t="s">
        <v>977</v>
      </c>
      <c r="E75" t="s">
        <v>978</v>
      </c>
      <c r="F75" t="s">
        <v>17</v>
      </c>
      <c r="G75" t="s">
        <v>894</v>
      </c>
      <c r="H75" t="s">
        <v>872</v>
      </c>
      <c r="I75" s="2">
        <v>45764</v>
      </c>
      <c r="J75" t="s">
        <v>873</v>
      </c>
      <c r="K75">
        <v>0</v>
      </c>
      <c r="L75" t="s">
        <v>251</v>
      </c>
      <c r="M75" t="s">
        <v>165</v>
      </c>
      <c r="N75" t="s">
        <v>449</v>
      </c>
      <c r="O75" s="5" t="b">
        <v>0</v>
      </c>
      <c r="P75" t="str">
        <f t="shared" si="2"/>
        <v>Del</v>
      </c>
      <c r="Q75" t="str">
        <f t="shared" si="3"/>
        <v>TF</v>
      </c>
      <c r="R75" t="s">
        <v>1025</v>
      </c>
    </row>
    <row r="76" spans="1:18" x14ac:dyDescent="0.25">
      <c r="A76">
        <v>728111</v>
      </c>
      <c r="B76">
        <v>4181</v>
      </c>
      <c r="C76" t="s">
        <v>1024</v>
      </c>
      <c r="D76" t="s">
        <v>968</v>
      </c>
      <c r="E76" t="s">
        <v>969</v>
      </c>
      <c r="F76" t="s">
        <v>17</v>
      </c>
      <c r="G76" t="s">
        <v>970</v>
      </c>
      <c r="H76" t="s">
        <v>872</v>
      </c>
      <c r="I76" s="2">
        <v>45747</v>
      </c>
      <c r="J76" t="s">
        <v>873</v>
      </c>
      <c r="K76">
        <v>1</v>
      </c>
      <c r="L76" t="s">
        <v>251</v>
      </c>
      <c r="M76" t="s">
        <v>162</v>
      </c>
      <c r="N76" t="s">
        <v>705</v>
      </c>
      <c r="O76" s="5" t="b">
        <v>0</v>
      </c>
      <c r="P76" t="str">
        <f t="shared" si="2"/>
        <v>Del</v>
      </c>
      <c r="Q76" t="str">
        <f t="shared" si="3"/>
        <v>TF</v>
      </c>
      <c r="R76" t="s">
        <v>1025</v>
      </c>
    </row>
    <row r="77" spans="1:18" x14ac:dyDescent="0.25">
      <c r="A77">
        <v>722431</v>
      </c>
      <c r="B77">
        <v>3921</v>
      </c>
      <c r="C77" t="s">
        <v>1026</v>
      </c>
      <c r="D77" t="s">
        <v>942</v>
      </c>
      <c r="E77" t="s">
        <v>943</v>
      </c>
      <c r="F77" t="s">
        <v>930</v>
      </c>
      <c r="G77" t="s">
        <v>878</v>
      </c>
      <c r="H77" t="s">
        <v>941</v>
      </c>
      <c r="I77" s="2">
        <v>45455</v>
      </c>
      <c r="J77" t="s">
        <v>873</v>
      </c>
      <c r="K77">
        <v>1</v>
      </c>
      <c r="L77" t="s">
        <v>289</v>
      </c>
      <c r="M77">
        <v>722431</v>
      </c>
      <c r="N77" t="s">
        <v>349</v>
      </c>
      <c r="O77" t="b">
        <v>1</v>
      </c>
      <c r="P77" t="str">
        <f t="shared" si="2"/>
        <v>Del</v>
      </c>
      <c r="Q77" t="str">
        <f t="shared" si="3"/>
        <v>Del</v>
      </c>
    </row>
    <row r="78" spans="1:18" x14ac:dyDescent="0.25">
      <c r="A78">
        <v>716679</v>
      </c>
      <c r="B78">
        <v>3521</v>
      </c>
      <c r="C78" t="s">
        <v>1027</v>
      </c>
      <c r="D78" t="s">
        <v>1018</v>
      </c>
      <c r="E78" t="s">
        <v>1019</v>
      </c>
      <c r="F78" t="s">
        <v>930</v>
      </c>
      <c r="G78" t="s">
        <v>898</v>
      </c>
      <c r="H78" t="s">
        <v>1028</v>
      </c>
      <c r="I78" s="2">
        <v>45113</v>
      </c>
      <c r="J78" t="s">
        <v>873</v>
      </c>
      <c r="K78">
        <v>1</v>
      </c>
      <c r="L78" t="s">
        <v>289</v>
      </c>
      <c r="M78">
        <v>716679</v>
      </c>
      <c r="N78" t="s">
        <v>318</v>
      </c>
      <c r="O78" t="b">
        <v>1</v>
      </c>
      <c r="P78" t="str">
        <f t="shared" si="2"/>
        <v>Del</v>
      </c>
      <c r="Q78" t="str">
        <f t="shared" si="3"/>
        <v>Del</v>
      </c>
    </row>
    <row r="79" spans="1:18" x14ac:dyDescent="0.25">
      <c r="A79">
        <v>716012</v>
      </c>
      <c r="B79">
        <v>3261</v>
      </c>
      <c r="C79" t="s">
        <v>1027</v>
      </c>
      <c r="D79" t="s">
        <v>1018</v>
      </c>
      <c r="E79" t="s">
        <v>1019</v>
      </c>
      <c r="F79" t="s">
        <v>930</v>
      </c>
      <c r="G79" t="s">
        <v>898</v>
      </c>
      <c r="H79" t="s">
        <v>941</v>
      </c>
      <c r="I79" s="2">
        <v>45030</v>
      </c>
      <c r="J79" t="s">
        <v>873</v>
      </c>
      <c r="K79">
        <v>1</v>
      </c>
      <c r="L79" t="s">
        <v>289</v>
      </c>
      <c r="M79">
        <v>666297</v>
      </c>
      <c r="N79" t="s">
        <v>311</v>
      </c>
      <c r="O79" s="5" t="b">
        <v>0</v>
      </c>
      <c r="P79" t="str">
        <f t="shared" si="2"/>
        <v>Del</v>
      </c>
      <c r="Q79" t="str">
        <f t="shared" si="3"/>
        <v>Del</v>
      </c>
    </row>
    <row r="80" spans="1:18" x14ac:dyDescent="0.25">
      <c r="A80" t="s">
        <v>315</v>
      </c>
      <c r="B80">
        <v>2569</v>
      </c>
      <c r="C80" t="s">
        <v>1027</v>
      </c>
      <c r="D80" t="s">
        <v>932</v>
      </c>
      <c r="E80" t="s">
        <v>933</v>
      </c>
      <c r="F80" t="s">
        <v>930</v>
      </c>
      <c r="G80" t="s">
        <v>898</v>
      </c>
      <c r="H80" t="s">
        <v>872</v>
      </c>
      <c r="I80" s="2">
        <v>44599</v>
      </c>
      <c r="J80" t="s">
        <v>873</v>
      </c>
      <c r="K80">
        <v>1</v>
      </c>
      <c r="L80" t="s">
        <v>251</v>
      </c>
      <c r="M80" t="s">
        <v>315</v>
      </c>
      <c r="N80" t="s">
        <v>314</v>
      </c>
      <c r="O80" t="b">
        <v>1</v>
      </c>
      <c r="P80" t="str">
        <f t="shared" si="2"/>
        <v>Del</v>
      </c>
      <c r="Q80" t="str">
        <f t="shared" si="3"/>
        <v>Del</v>
      </c>
    </row>
    <row r="81" spans="1:18" x14ac:dyDescent="0.25">
      <c r="A81">
        <v>666297</v>
      </c>
      <c r="B81">
        <v>932</v>
      </c>
      <c r="C81" t="s">
        <v>1027</v>
      </c>
      <c r="D81" t="s">
        <v>942</v>
      </c>
      <c r="E81" t="s">
        <v>943</v>
      </c>
      <c r="F81" t="s">
        <v>930</v>
      </c>
      <c r="G81" t="s">
        <v>907</v>
      </c>
      <c r="H81" t="s">
        <v>941</v>
      </c>
      <c r="I81" s="2">
        <v>42478</v>
      </c>
      <c r="J81" t="s">
        <v>873</v>
      </c>
      <c r="K81">
        <v>1</v>
      </c>
      <c r="L81" t="s">
        <v>289</v>
      </c>
      <c r="M81">
        <v>666297</v>
      </c>
      <c r="N81" t="s">
        <v>311</v>
      </c>
      <c r="O81" t="b">
        <v>1</v>
      </c>
      <c r="P81" t="str">
        <f t="shared" si="2"/>
        <v>Del</v>
      </c>
      <c r="Q81" t="str">
        <f t="shared" si="3"/>
        <v>Del</v>
      </c>
    </row>
    <row r="82" spans="1:18" x14ac:dyDescent="0.25">
      <c r="A82">
        <v>713971</v>
      </c>
      <c r="B82">
        <v>3001</v>
      </c>
      <c r="C82" t="s">
        <v>1029</v>
      </c>
      <c r="D82" t="s">
        <v>924</v>
      </c>
      <c r="E82" t="s">
        <v>925</v>
      </c>
      <c r="F82" t="s">
        <v>17</v>
      </c>
      <c r="G82" t="s">
        <v>878</v>
      </c>
      <c r="H82" t="s">
        <v>912</v>
      </c>
      <c r="I82" s="2">
        <v>45065</v>
      </c>
      <c r="J82" t="s">
        <v>873</v>
      </c>
      <c r="K82">
        <v>1</v>
      </c>
      <c r="L82" t="s">
        <v>251</v>
      </c>
      <c r="M82">
        <v>713971</v>
      </c>
      <c r="N82" t="s">
        <v>180</v>
      </c>
      <c r="O82" t="b">
        <v>1</v>
      </c>
      <c r="P82" t="str">
        <f t="shared" si="2"/>
        <v>Del</v>
      </c>
      <c r="Q82" t="str">
        <f t="shared" si="3"/>
        <v>Del</v>
      </c>
    </row>
    <row r="83" spans="1:18" x14ac:dyDescent="0.25">
      <c r="A83">
        <v>713421</v>
      </c>
      <c r="B83">
        <v>2823</v>
      </c>
      <c r="C83" t="s">
        <v>1029</v>
      </c>
      <c r="D83" t="s">
        <v>987</v>
      </c>
      <c r="E83" t="s">
        <v>988</v>
      </c>
      <c r="F83" t="s">
        <v>17</v>
      </c>
      <c r="G83" t="s">
        <v>878</v>
      </c>
      <c r="H83" t="s">
        <v>872</v>
      </c>
      <c r="I83" s="2">
        <v>44749</v>
      </c>
      <c r="J83" t="s">
        <v>873</v>
      </c>
      <c r="K83">
        <v>0</v>
      </c>
      <c r="L83" t="s">
        <v>251</v>
      </c>
      <c r="M83">
        <v>713421</v>
      </c>
      <c r="N83" t="s">
        <v>178</v>
      </c>
      <c r="O83" t="b">
        <v>1</v>
      </c>
      <c r="P83" t="str">
        <f t="shared" si="2"/>
        <v>Del</v>
      </c>
      <c r="Q83" t="str">
        <f t="shared" si="3"/>
        <v>Del</v>
      </c>
    </row>
    <row r="84" spans="1:18" x14ac:dyDescent="0.25">
      <c r="A84">
        <v>708783</v>
      </c>
      <c r="B84">
        <v>2463</v>
      </c>
      <c r="C84" t="s">
        <v>1029</v>
      </c>
      <c r="D84" t="s">
        <v>989</v>
      </c>
      <c r="E84" t="s">
        <v>990</v>
      </c>
      <c r="F84" t="s">
        <v>17</v>
      </c>
      <c r="G84" t="s">
        <v>878</v>
      </c>
      <c r="H84" t="s">
        <v>872</v>
      </c>
      <c r="I84" s="2">
        <v>44568</v>
      </c>
      <c r="J84" t="s">
        <v>873</v>
      </c>
      <c r="K84">
        <v>1</v>
      </c>
      <c r="L84" t="s">
        <v>251</v>
      </c>
      <c r="M84">
        <v>708783</v>
      </c>
      <c r="N84" t="s">
        <v>176</v>
      </c>
      <c r="O84" t="b">
        <v>1</v>
      </c>
      <c r="P84" t="str">
        <f t="shared" si="2"/>
        <v>Del</v>
      </c>
      <c r="Q84" t="str">
        <f t="shared" si="3"/>
        <v>Del</v>
      </c>
    </row>
    <row r="85" spans="1:18" x14ac:dyDescent="0.25">
      <c r="A85">
        <v>716844</v>
      </c>
      <c r="B85">
        <v>3481</v>
      </c>
      <c r="C85" t="s">
        <v>1030</v>
      </c>
      <c r="D85" t="s">
        <v>913</v>
      </c>
      <c r="E85" t="s">
        <v>914</v>
      </c>
      <c r="F85" t="s">
        <v>17</v>
      </c>
      <c r="G85" t="s">
        <v>878</v>
      </c>
      <c r="H85" t="s">
        <v>890</v>
      </c>
      <c r="I85" s="2">
        <v>45065</v>
      </c>
      <c r="J85" t="s">
        <v>873</v>
      </c>
      <c r="K85">
        <v>1</v>
      </c>
      <c r="L85" t="s">
        <v>251</v>
      </c>
      <c r="M85">
        <v>716844</v>
      </c>
      <c r="N85" t="s">
        <v>183</v>
      </c>
      <c r="O85" t="b">
        <v>1</v>
      </c>
      <c r="P85" t="str">
        <f t="shared" si="2"/>
        <v>Del</v>
      </c>
      <c r="Q85" t="str">
        <f t="shared" si="3"/>
        <v>Del</v>
      </c>
    </row>
    <row r="86" spans="1:18" x14ac:dyDescent="0.25">
      <c r="A86">
        <v>728109</v>
      </c>
      <c r="B86">
        <v>4263</v>
      </c>
      <c r="C86" t="s">
        <v>1030</v>
      </c>
      <c r="D86" t="s">
        <v>915</v>
      </c>
      <c r="E86" t="s">
        <v>916</v>
      </c>
      <c r="F86" t="s">
        <v>17</v>
      </c>
      <c r="G86" t="s">
        <v>878</v>
      </c>
      <c r="H86" t="s">
        <v>890</v>
      </c>
      <c r="I86" s="2">
        <v>45771</v>
      </c>
      <c r="J86" t="s">
        <v>873</v>
      </c>
      <c r="K86">
        <v>0</v>
      </c>
      <c r="L86" t="s">
        <v>251</v>
      </c>
      <c r="M86">
        <v>716844</v>
      </c>
      <c r="N86" t="s">
        <v>183</v>
      </c>
      <c r="O86" s="5" t="b">
        <v>0</v>
      </c>
      <c r="P86" t="str">
        <f t="shared" si="2"/>
        <v>Del</v>
      </c>
      <c r="Q86" t="str">
        <f t="shared" si="3"/>
        <v>Del</v>
      </c>
    </row>
    <row r="87" spans="1:18" x14ac:dyDescent="0.25">
      <c r="A87">
        <v>727792</v>
      </c>
      <c r="B87">
        <v>4262</v>
      </c>
      <c r="C87" t="s">
        <v>1030</v>
      </c>
      <c r="D87" t="s">
        <v>909</v>
      </c>
      <c r="E87" t="s">
        <v>910</v>
      </c>
      <c r="F87" t="s">
        <v>17</v>
      </c>
      <c r="G87" t="s">
        <v>878</v>
      </c>
      <c r="H87" t="s">
        <v>890</v>
      </c>
      <c r="I87" s="2">
        <v>45771</v>
      </c>
      <c r="J87" t="s">
        <v>873</v>
      </c>
      <c r="K87">
        <v>0</v>
      </c>
      <c r="L87" t="s">
        <v>251</v>
      </c>
      <c r="M87">
        <v>716844</v>
      </c>
      <c r="N87" t="s">
        <v>183</v>
      </c>
      <c r="O87" s="5" t="b">
        <v>0</v>
      </c>
      <c r="P87" t="str">
        <f t="shared" si="2"/>
        <v>Del</v>
      </c>
      <c r="Q87" t="str">
        <f t="shared" si="3"/>
        <v>Del</v>
      </c>
    </row>
    <row r="88" spans="1:18" x14ac:dyDescent="0.25">
      <c r="A88">
        <v>729236</v>
      </c>
      <c r="B88">
        <v>4361</v>
      </c>
      <c r="C88" t="s">
        <v>1031</v>
      </c>
      <c r="D88" t="s">
        <v>885</v>
      </c>
      <c r="E88" t="s">
        <v>886</v>
      </c>
      <c r="F88" t="s">
        <v>17</v>
      </c>
      <c r="G88" t="s">
        <v>878</v>
      </c>
      <c r="H88" t="s">
        <v>1032</v>
      </c>
      <c r="I88" s="2">
        <v>45800</v>
      </c>
      <c r="J88" t="s">
        <v>873</v>
      </c>
      <c r="K88">
        <v>1</v>
      </c>
      <c r="L88" t="s">
        <v>251</v>
      </c>
      <c r="M88">
        <v>729236</v>
      </c>
      <c r="N88" t="s">
        <v>1033</v>
      </c>
      <c r="O88" t="b">
        <v>1</v>
      </c>
      <c r="P88" t="str">
        <f t="shared" si="2"/>
        <v>Del</v>
      </c>
      <c r="Q88" t="str">
        <f t="shared" si="3"/>
        <v>Del</v>
      </c>
    </row>
    <row r="89" spans="1:18" x14ac:dyDescent="0.25">
      <c r="A89">
        <v>716543</v>
      </c>
      <c r="B89">
        <v>3482</v>
      </c>
      <c r="C89" t="s">
        <v>1034</v>
      </c>
      <c r="D89" t="s">
        <v>913</v>
      </c>
      <c r="E89" t="s">
        <v>914</v>
      </c>
      <c r="F89" t="s">
        <v>17</v>
      </c>
      <c r="G89" t="s">
        <v>878</v>
      </c>
      <c r="H89" t="s">
        <v>1035</v>
      </c>
      <c r="I89" s="2">
        <v>45065</v>
      </c>
      <c r="J89" t="s">
        <v>873</v>
      </c>
      <c r="K89">
        <v>1</v>
      </c>
      <c r="L89" t="s">
        <v>251</v>
      </c>
      <c r="M89">
        <v>716543</v>
      </c>
      <c r="N89" t="s">
        <v>1036</v>
      </c>
      <c r="O89" t="b">
        <v>1</v>
      </c>
      <c r="P89" t="str">
        <f t="shared" si="2"/>
        <v>Del</v>
      </c>
      <c r="Q89" t="str">
        <f t="shared" si="3"/>
        <v>Del</v>
      </c>
    </row>
    <row r="90" spans="1:18" x14ac:dyDescent="0.25">
      <c r="A90">
        <v>706632</v>
      </c>
      <c r="B90">
        <v>2261</v>
      </c>
      <c r="C90" t="s">
        <v>1034</v>
      </c>
      <c r="D90" t="s">
        <v>1000</v>
      </c>
      <c r="E90" t="s">
        <v>1001</v>
      </c>
      <c r="F90" t="s">
        <v>17</v>
      </c>
      <c r="G90" t="s">
        <v>878</v>
      </c>
      <c r="H90" t="s">
        <v>895</v>
      </c>
      <c r="I90" s="2">
        <v>44368</v>
      </c>
      <c r="J90" t="s">
        <v>873</v>
      </c>
      <c r="K90">
        <v>1</v>
      </c>
      <c r="L90" t="s">
        <v>251</v>
      </c>
      <c r="M90">
        <v>706632</v>
      </c>
      <c r="N90" t="s">
        <v>186</v>
      </c>
      <c r="O90" t="b">
        <v>1</v>
      </c>
      <c r="P90" t="str">
        <f t="shared" si="2"/>
        <v>Del</v>
      </c>
      <c r="Q90" t="str">
        <f t="shared" si="3"/>
        <v>Del</v>
      </c>
    </row>
    <row r="91" spans="1:18" x14ac:dyDescent="0.25">
      <c r="A91">
        <v>726053</v>
      </c>
      <c r="B91">
        <v>4221</v>
      </c>
      <c r="C91" t="s">
        <v>1037</v>
      </c>
      <c r="D91" t="s">
        <v>892</v>
      </c>
      <c r="E91" t="s">
        <v>893</v>
      </c>
      <c r="F91" t="s">
        <v>17</v>
      </c>
      <c r="G91" t="s">
        <v>894</v>
      </c>
      <c r="H91" t="s">
        <v>895</v>
      </c>
      <c r="I91" s="2">
        <v>45758</v>
      </c>
      <c r="J91" t="s">
        <v>873</v>
      </c>
      <c r="K91">
        <v>1</v>
      </c>
      <c r="L91" t="s">
        <v>251</v>
      </c>
      <c r="M91" t="s">
        <v>192</v>
      </c>
      <c r="N91" t="s">
        <v>600</v>
      </c>
      <c r="O91" s="5" t="b">
        <v>0</v>
      </c>
      <c r="P91" t="str">
        <f t="shared" si="2"/>
        <v>Del</v>
      </c>
      <c r="Q91" t="str">
        <f t="shared" si="3"/>
        <v>TF</v>
      </c>
      <c r="R91" t="s">
        <v>1025</v>
      </c>
    </row>
    <row r="92" spans="1:18" x14ac:dyDescent="0.25">
      <c r="A92">
        <v>726054</v>
      </c>
      <c r="B92">
        <v>4222</v>
      </c>
      <c r="C92" t="s">
        <v>1037</v>
      </c>
      <c r="D92" t="s">
        <v>977</v>
      </c>
      <c r="E92" t="s">
        <v>978</v>
      </c>
      <c r="F92" t="s">
        <v>17</v>
      </c>
      <c r="G92" t="s">
        <v>894</v>
      </c>
      <c r="H92" t="s">
        <v>895</v>
      </c>
      <c r="I92" s="2">
        <v>45758</v>
      </c>
      <c r="J92" t="s">
        <v>873</v>
      </c>
      <c r="K92">
        <v>0</v>
      </c>
      <c r="L92" t="s">
        <v>251</v>
      </c>
      <c r="M92" t="s">
        <v>192</v>
      </c>
      <c r="N92" t="s">
        <v>600</v>
      </c>
      <c r="O92" s="5" t="b">
        <v>0</v>
      </c>
      <c r="P92" t="str">
        <f t="shared" si="2"/>
        <v>Del</v>
      </c>
      <c r="Q92" t="str">
        <f t="shared" si="3"/>
        <v>TF</v>
      </c>
      <c r="R92" t="s">
        <v>1025</v>
      </c>
    </row>
    <row r="93" spans="1:18" x14ac:dyDescent="0.25">
      <c r="A93">
        <v>727786</v>
      </c>
      <c r="B93">
        <v>4243</v>
      </c>
      <c r="C93" t="s">
        <v>1037</v>
      </c>
      <c r="D93" t="s">
        <v>1038</v>
      </c>
      <c r="E93" t="s">
        <v>1039</v>
      </c>
      <c r="F93" t="s">
        <v>17</v>
      </c>
      <c r="G93" t="s">
        <v>898</v>
      </c>
      <c r="H93" t="s">
        <v>895</v>
      </c>
      <c r="I93" s="2">
        <v>45770</v>
      </c>
      <c r="J93" t="s">
        <v>873</v>
      </c>
      <c r="K93">
        <v>0</v>
      </c>
      <c r="L93" t="s">
        <v>251</v>
      </c>
      <c r="M93">
        <v>684489</v>
      </c>
      <c r="N93" t="s">
        <v>195</v>
      </c>
      <c r="O93" s="5" t="b">
        <v>0</v>
      </c>
      <c r="P93" t="str">
        <f t="shared" si="2"/>
        <v>Del</v>
      </c>
      <c r="Q93" t="str">
        <f t="shared" si="3"/>
        <v>Del</v>
      </c>
    </row>
    <row r="94" spans="1:18" x14ac:dyDescent="0.25">
      <c r="A94">
        <v>682591</v>
      </c>
      <c r="B94">
        <v>1125</v>
      </c>
      <c r="C94" t="s">
        <v>1037</v>
      </c>
      <c r="D94" t="s">
        <v>1040</v>
      </c>
      <c r="E94" t="s">
        <v>1041</v>
      </c>
      <c r="F94" t="s">
        <v>17</v>
      </c>
      <c r="G94" t="s">
        <v>898</v>
      </c>
      <c r="H94" t="s">
        <v>895</v>
      </c>
      <c r="I94" s="2">
        <v>43087</v>
      </c>
      <c r="J94" t="s">
        <v>873</v>
      </c>
      <c r="K94">
        <v>1</v>
      </c>
      <c r="L94" t="s">
        <v>251</v>
      </c>
      <c r="M94">
        <v>684489</v>
      </c>
      <c r="N94" t="s">
        <v>195</v>
      </c>
      <c r="O94" s="5" t="b">
        <v>0</v>
      </c>
      <c r="P94" t="str">
        <f t="shared" si="2"/>
        <v>Del</v>
      </c>
      <c r="Q94" t="str">
        <f t="shared" si="3"/>
        <v>Del</v>
      </c>
    </row>
    <row r="95" spans="1:18" x14ac:dyDescent="0.25">
      <c r="A95">
        <v>684489</v>
      </c>
      <c r="B95">
        <v>1141</v>
      </c>
      <c r="C95" t="s">
        <v>1037</v>
      </c>
      <c r="D95" t="s">
        <v>896</v>
      </c>
      <c r="E95" t="s">
        <v>897</v>
      </c>
      <c r="F95" t="s">
        <v>17</v>
      </c>
      <c r="G95" t="s">
        <v>898</v>
      </c>
      <c r="H95" t="s">
        <v>895</v>
      </c>
      <c r="I95" s="2">
        <v>43200</v>
      </c>
      <c r="J95" t="s">
        <v>873</v>
      </c>
      <c r="K95">
        <v>0</v>
      </c>
      <c r="L95" t="s">
        <v>251</v>
      </c>
      <c r="M95">
        <v>684489</v>
      </c>
      <c r="N95" t="s">
        <v>195</v>
      </c>
      <c r="O95" t="b">
        <v>1</v>
      </c>
      <c r="P95" t="str">
        <f t="shared" si="2"/>
        <v>Del</v>
      </c>
      <c r="Q95" t="str">
        <f t="shared" si="3"/>
        <v>Del</v>
      </c>
    </row>
    <row r="96" spans="1:18" x14ac:dyDescent="0.25">
      <c r="A96">
        <v>682590</v>
      </c>
      <c r="B96">
        <v>1124</v>
      </c>
      <c r="C96" t="s">
        <v>1037</v>
      </c>
      <c r="D96" t="s">
        <v>901</v>
      </c>
      <c r="E96" t="s">
        <v>902</v>
      </c>
      <c r="F96" t="s">
        <v>17</v>
      </c>
      <c r="G96" t="s">
        <v>878</v>
      </c>
      <c r="H96" t="s">
        <v>890</v>
      </c>
      <c r="I96" s="2">
        <v>43087</v>
      </c>
      <c r="J96" t="s">
        <v>873</v>
      </c>
      <c r="K96">
        <v>1</v>
      </c>
      <c r="L96" t="s">
        <v>251</v>
      </c>
      <c r="M96">
        <v>682590</v>
      </c>
      <c r="N96" t="s">
        <v>197</v>
      </c>
      <c r="O96" t="b">
        <v>1</v>
      </c>
      <c r="P96" t="str">
        <f t="shared" si="2"/>
        <v>Del</v>
      </c>
      <c r="Q96" t="str">
        <f t="shared" si="3"/>
        <v>Del</v>
      </c>
    </row>
    <row r="97" spans="1:17" x14ac:dyDescent="0.25">
      <c r="A97">
        <v>718931</v>
      </c>
      <c r="B97">
        <v>3842</v>
      </c>
      <c r="C97" t="s">
        <v>1037</v>
      </c>
      <c r="D97" t="s">
        <v>1042</v>
      </c>
      <c r="E97" t="s">
        <v>1043</v>
      </c>
      <c r="F97" t="s">
        <v>17</v>
      </c>
      <c r="G97" t="s">
        <v>878</v>
      </c>
      <c r="H97" t="s">
        <v>1044</v>
      </c>
      <c r="I97" s="2">
        <v>45373</v>
      </c>
      <c r="J97" t="s">
        <v>873</v>
      </c>
      <c r="K97">
        <v>1</v>
      </c>
      <c r="L97" t="s">
        <v>251</v>
      </c>
      <c r="M97">
        <v>718931</v>
      </c>
      <c r="N97" t="s">
        <v>354</v>
      </c>
      <c r="O97" t="b">
        <v>1</v>
      </c>
      <c r="P97" t="str">
        <f t="shared" si="2"/>
        <v>Del</v>
      </c>
      <c r="Q97" t="str">
        <f t="shared" si="3"/>
        <v>Del</v>
      </c>
    </row>
    <row r="98" spans="1:17" s="3" customFormat="1" x14ac:dyDescent="0.25">
      <c r="A98" s="3" t="s">
        <v>1045</v>
      </c>
      <c r="B98" s="3">
        <v>2761</v>
      </c>
      <c r="C98" s="3" t="s">
        <v>1037</v>
      </c>
      <c r="D98" s="3" t="s">
        <v>1046</v>
      </c>
      <c r="E98" s="3" t="s">
        <v>1047</v>
      </c>
      <c r="F98" s="3" t="s">
        <v>17</v>
      </c>
      <c r="G98" s="3" t="s">
        <v>878</v>
      </c>
      <c r="H98" s="3" t="s">
        <v>872</v>
      </c>
      <c r="I98" s="4">
        <v>43930</v>
      </c>
      <c r="J98" s="3" t="s">
        <v>873</v>
      </c>
      <c r="K98" s="3">
        <v>1</v>
      </c>
      <c r="L98" s="3" t="s">
        <v>251</v>
      </c>
      <c r="N98"/>
      <c r="O98" s="5" t="b">
        <v>0</v>
      </c>
      <c r="P98" t="str">
        <f t="shared" si="2"/>
        <v>TF</v>
      </c>
      <c r="Q98" t="str">
        <f t="shared" si="3"/>
        <v>Del</v>
      </c>
    </row>
    <row r="99" spans="1:17" x14ac:dyDescent="0.25">
      <c r="A99">
        <v>716926</v>
      </c>
      <c r="B99">
        <v>3581</v>
      </c>
      <c r="C99" t="s">
        <v>1048</v>
      </c>
      <c r="D99" t="s">
        <v>1000</v>
      </c>
      <c r="E99" t="s">
        <v>1001</v>
      </c>
      <c r="F99" t="s">
        <v>17</v>
      </c>
      <c r="G99" t="s">
        <v>878</v>
      </c>
      <c r="H99" t="s">
        <v>895</v>
      </c>
      <c r="I99" s="2">
        <v>45121</v>
      </c>
      <c r="J99" t="s">
        <v>873</v>
      </c>
      <c r="K99">
        <v>0</v>
      </c>
      <c r="L99" t="s">
        <v>251</v>
      </c>
      <c r="M99">
        <v>716958</v>
      </c>
      <c r="N99" t="s">
        <v>203</v>
      </c>
      <c r="O99" s="5" t="b">
        <v>0</v>
      </c>
      <c r="P99" t="str">
        <f t="shared" si="2"/>
        <v>Del</v>
      </c>
      <c r="Q99" t="str">
        <f t="shared" si="3"/>
        <v>Del</v>
      </c>
    </row>
    <row r="100" spans="1:17" x14ac:dyDescent="0.25">
      <c r="A100">
        <v>716958</v>
      </c>
      <c r="B100">
        <v>3483</v>
      </c>
      <c r="C100" t="s">
        <v>1048</v>
      </c>
      <c r="D100" t="s">
        <v>913</v>
      </c>
      <c r="E100" t="s">
        <v>914</v>
      </c>
      <c r="F100" t="s">
        <v>17</v>
      </c>
      <c r="G100" t="s">
        <v>878</v>
      </c>
      <c r="H100" t="s">
        <v>895</v>
      </c>
      <c r="I100" s="2">
        <v>45065</v>
      </c>
      <c r="J100" t="s">
        <v>873</v>
      </c>
      <c r="K100">
        <v>1</v>
      </c>
      <c r="L100" t="s">
        <v>251</v>
      </c>
      <c r="M100">
        <v>716958</v>
      </c>
      <c r="N100" t="s">
        <v>203</v>
      </c>
      <c r="O100" t="b">
        <v>1</v>
      </c>
      <c r="P100" t="str">
        <f t="shared" si="2"/>
        <v>Del</v>
      </c>
      <c r="Q100" t="str">
        <f t="shared" si="3"/>
        <v>Del</v>
      </c>
    </row>
    <row r="101" spans="1:17" x14ac:dyDescent="0.25">
      <c r="A101">
        <v>716406</v>
      </c>
      <c r="B101">
        <v>3321</v>
      </c>
      <c r="C101" t="s">
        <v>1049</v>
      </c>
      <c r="D101" t="s">
        <v>888</v>
      </c>
      <c r="E101" t="s">
        <v>889</v>
      </c>
      <c r="F101" t="s">
        <v>17</v>
      </c>
      <c r="G101" t="s">
        <v>878</v>
      </c>
      <c r="H101" t="s">
        <v>912</v>
      </c>
      <c r="I101" s="2">
        <v>45030</v>
      </c>
      <c r="J101" t="s">
        <v>873</v>
      </c>
      <c r="K101">
        <v>1</v>
      </c>
      <c r="L101" t="s">
        <v>251</v>
      </c>
      <c r="M101">
        <v>716406</v>
      </c>
      <c r="N101" t="s">
        <v>208</v>
      </c>
      <c r="O101" t="b">
        <v>1</v>
      </c>
      <c r="P101" t="str">
        <f t="shared" si="2"/>
        <v>Del</v>
      </c>
      <c r="Q101" t="str">
        <f t="shared" si="3"/>
        <v>Del</v>
      </c>
    </row>
    <row r="102" spans="1:17" x14ac:dyDescent="0.25">
      <c r="A102">
        <v>693764</v>
      </c>
      <c r="B102">
        <v>1542</v>
      </c>
      <c r="C102" t="s">
        <v>1050</v>
      </c>
      <c r="D102" t="s">
        <v>968</v>
      </c>
      <c r="E102" t="s">
        <v>969</v>
      </c>
      <c r="F102" t="s">
        <v>17</v>
      </c>
      <c r="G102" t="s">
        <v>970</v>
      </c>
      <c r="H102" t="s">
        <v>872</v>
      </c>
      <c r="I102" s="2">
        <v>43595</v>
      </c>
      <c r="J102" t="s">
        <v>873</v>
      </c>
      <c r="K102">
        <v>1</v>
      </c>
      <c r="L102" t="s">
        <v>251</v>
      </c>
      <c r="M102">
        <v>693764</v>
      </c>
      <c r="N102" t="s">
        <v>210</v>
      </c>
      <c r="O102" t="b">
        <v>1</v>
      </c>
      <c r="P102" t="str">
        <f t="shared" si="2"/>
        <v>Del</v>
      </c>
      <c r="Q102" t="str">
        <f t="shared" si="3"/>
        <v>Del</v>
      </c>
    </row>
    <row r="103" spans="1:17" x14ac:dyDescent="0.25">
      <c r="A103">
        <v>700087</v>
      </c>
      <c r="B103">
        <v>1822</v>
      </c>
      <c r="C103" t="s">
        <v>1050</v>
      </c>
      <c r="D103" t="s">
        <v>964</v>
      </c>
      <c r="E103" t="s">
        <v>965</v>
      </c>
      <c r="F103" t="s">
        <v>17</v>
      </c>
      <c r="G103" t="s">
        <v>878</v>
      </c>
      <c r="H103" t="s">
        <v>912</v>
      </c>
      <c r="I103" s="2">
        <v>44026</v>
      </c>
      <c r="J103" t="s">
        <v>873</v>
      </c>
      <c r="K103">
        <v>1</v>
      </c>
      <c r="L103" t="s">
        <v>251</v>
      </c>
      <c r="M103">
        <v>700087</v>
      </c>
      <c r="N103" t="s">
        <v>212</v>
      </c>
      <c r="O103" t="b">
        <v>1</v>
      </c>
      <c r="P103" t="str">
        <f t="shared" si="2"/>
        <v>Del</v>
      </c>
      <c r="Q103" t="str">
        <f t="shared" si="3"/>
        <v>Del</v>
      </c>
    </row>
    <row r="104" spans="1:17" x14ac:dyDescent="0.25">
      <c r="A104">
        <v>718929</v>
      </c>
      <c r="B104">
        <v>3861</v>
      </c>
      <c r="C104" t="s">
        <v>1050</v>
      </c>
      <c r="D104" t="s">
        <v>1042</v>
      </c>
      <c r="E104" t="s">
        <v>1043</v>
      </c>
      <c r="F104" t="s">
        <v>17</v>
      </c>
      <c r="G104" t="s">
        <v>878</v>
      </c>
      <c r="H104" t="s">
        <v>1044</v>
      </c>
      <c r="I104" s="2">
        <v>45373</v>
      </c>
      <c r="J104" t="s">
        <v>873</v>
      </c>
      <c r="K104">
        <v>1</v>
      </c>
      <c r="L104" t="s">
        <v>251</v>
      </c>
      <c r="M104">
        <v>718929</v>
      </c>
      <c r="N104" t="s">
        <v>357</v>
      </c>
      <c r="O104" t="b">
        <v>1</v>
      </c>
      <c r="P104" t="str">
        <f t="shared" si="2"/>
        <v>Del</v>
      </c>
      <c r="Q104" t="str">
        <f t="shared" si="3"/>
        <v>Del</v>
      </c>
    </row>
    <row r="105" spans="1:17" x14ac:dyDescent="0.25">
      <c r="A105">
        <v>713408</v>
      </c>
      <c r="B105">
        <v>2822</v>
      </c>
      <c r="C105" t="s">
        <v>1050</v>
      </c>
      <c r="D105" t="s">
        <v>987</v>
      </c>
      <c r="E105" t="s">
        <v>988</v>
      </c>
      <c r="F105" t="s">
        <v>17</v>
      </c>
      <c r="G105" t="s">
        <v>878</v>
      </c>
      <c r="H105" t="s">
        <v>872</v>
      </c>
      <c r="I105" s="2">
        <v>44749</v>
      </c>
      <c r="J105" t="s">
        <v>873</v>
      </c>
      <c r="K105">
        <v>0</v>
      </c>
      <c r="L105" t="s">
        <v>251</v>
      </c>
      <c r="M105">
        <v>713408</v>
      </c>
      <c r="N105" t="s">
        <v>214</v>
      </c>
      <c r="O105" t="b">
        <v>1</v>
      </c>
      <c r="P105" t="str">
        <f t="shared" si="2"/>
        <v>Del</v>
      </c>
      <c r="Q105" t="str">
        <f t="shared" si="3"/>
        <v>Del</v>
      </c>
    </row>
    <row r="106" spans="1:17" x14ac:dyDescent="0.25">
      <c r="A106">
        <v>700206</v>
      </c>
      <c r="B106">
        <v>1801</v>
      </c>
      <c r="C106" t="s">
        <v>1050</v>
      </c>
      <c r="D106" t="s">
        <v>899</v>
      </c>
      <c r="E106" t="s">
        <v>900</v>
      </c>
      <c r="F106" t="s">
        <v>17</v>
      </c>
      <c r="G106" t="s">
        <v>878</v>
      </c>
      <c r="H106" t="s">
        <v>872</v>
      </c>
      <c r="I106" s="2">
        <v>44060</v>
      </c>
      <c r="J106" t="s">
        <v>873</v>
      </c>
      <c r="K106">
        <v>1</v>
      </c>
      <c r="L106" t="s">
        <v>251</v>
      </c>
      <c r="M106">
        <v>700206</v>
      </c>
      <c r="N106" t="s">
        <v>217</v>
      </c>
      <c r="O106" t="b">
        <v>1</v>
      </c>
      <c r="P106" t="str">
        <f t="shared" si="2"/>
        <v>Del</v>
      </c>
      <c r="Q106" t="str">
        <f t="shared" si="3"/>
        <v>Del</v>
      </c>
    </row>
    <row r="107" spans="1:17" x14ac:dyDescent="0.25">
      <c r="A107">
        <v>709785</v>
      </c>
      <c r="B107">
        <v>2541</v>
      </c>
      <c r="C107" t="s">
        <v>1050</v>
      </c>
      <c r="D107" t="s">
        <v>903</v>
      </c>
      <c r="E107" t="s">
        <v>904</v>
      </c>
      <c r="F107" t="s">
        <v>17</v>
      </c>
      <c r="G107" t="s">
        <v>878</v>
      </c>
      <c r="H107" t="s">
        <v>872</v>
      </c>
      <c r="I107" s="2">
        <v>44540</v>
      </c>
      <c r="J107" t="s">
        <v>873</v>
      </c>
      <c r="K107">
        <v>0</v>
      </c>
      <c r="L107" t="s">
        <v>251</v>
      </c>
      <c r="M107">
        <v>700206</v>
      </c>
      <c r="N107" t="s">
        <v>217</v>
      </c>
      <c r="O107" s="5" t="b">
        <v>0</v>
      </c>
      <c r="P107" t="str">
        <f t="shared" si="2"/>
        <v>Del</v>
      </c>
      <c r="Q107" t="str">
        <f t="shared" si="3"/>
        <v>Del</v>
      </c>
    </row>
    <row r="108" spans="1:17" x14ac:dyDescent="0.25">
      <c r="A108">
        <v>704620</v>
      </c>
      <c r="B108">
        <v>1981</v>
      </c>
      <c r="C108" t="s">
        <v>1051</v>
      </c>
      <c r="D108" t="s">
        <v>896</v>
      </c>
      <c r="E108" t="s">
        <v>897</v>
      </c>
      <c r="F108" t="s">
        <v>17</v>
      </c>
      <c r="G108" t="s">
        <v>898</v>
      </c>
      <c r="H108" t="s">
        <v>912</v>
      </c>
      <c r="I108" s="2">
        <v>44235</v>
      </c>
      <c r="J108" t="s">
        <v>873</v>
      </c>
      <c r="K108">
        <v>1</v>
      </c>
      <c r="L108" t="s">
        <v>251</v>
      </c>
      <c r="M108">
        <v>704620</v>
      </c>
      <c r="N108" t="s">
        <v>219</v>
      </c>
      <c r="O108" t="b">
        <v>1</v>
      </c>
      <c r="P108" t="str">
        <f t="shared" si="2"/>
        <v>Del</v>
      </c>
      <c r="Q108" t="str">
        <f t="shared" si="3"/>
        <v>Del</v>
      </c>
    </row>
    <row r="109" spans="1:17" x14ac:dyDescent="0.25">
      <c r="A109">
        <v>645766</v>
      </c>
      <c r="B109">
        <v>881</v>
      </c>
      <c r="C109" t="s">
        <v>1052</v>
      </c>
      <c r="D109" t="s">
        <v>1053</v>
      </c>
      <c r="E109" t="s">
        <v>1054</v>
      </c>
      <c r="F109" t="s">
        <v>17</v>
      </c>
      <c r="G109" t="s">
        <v>878</v>
      </c>
      <c r="H109" t="s">
        <v>1055</v>
      </c>
      <c r="I109" s="2">
        <v>41492</v>
      </c>
      <c r="J109" t="s">
        <v>873</v>
      </c>
      <c r="K109">
        <v>1</v>
      </c>
      <c r="L109" t="s">
        <v>251</v>
      </c>
      <c r="M109">
        <v>645766</v>
      </c>
      <c r="N109" t="s">
        <v>222</v>
      </c>
      <c r="O109" t="b">
        <v>1</v>
      </c>
      <c r="P109" t="str">
        <f t="shared" si="2"/>
        <v>Del</v>
      </c>
      <c r="Q109" t="str">
        <f t="shared" si="3"/>
        <v>Del</v>
      </c>
    </row>
    <row r="110" spans="1:17" x14ac:dyDescent="0.25">
      <c r="A110">
        <v>596994</v>
      </c>
      <c r="B110">
        <v>892</v>
      </c>
      <c r="C110" t="s">
        <v>1056</v>
      </c>
      <c r="D110" t="s">
        <v>1057</v>
      </c>
      <c r="E110" t="s">
        <v>1058</v>
      </c>
      <c r="F110" t="s">
        <v>17</v>
      </c>
      <c r="G110" t="s">
        <v>1059</v>
      </c>
      <c r="H110" t="s">
        <v>872</v>
      </c>
      <c r="I110" s="2">
        <v>39451</v>
      </c>
      <c r="J110" t="s">
        <v>873</v>
      </c>
      <c r="K110">
        <v>1</v>
      </c>
      <c r="L110" t="s">
        <v>251</v>
      </c>
      <c r="M110">
        <v>596994</v>
      </c>
      <c r="N110" t="s">
        <v>225</v>
      </c>
      <c r="O110" t="b">
        <v>1</v>
      </c>
      <c r="P110" t="str">
        <f t="shared" si="2"/>
        <v>Del</v>
      </c>
      <c r="Q110" t="str">
        <f t="shared" si="3"/>
        <v>Del</v>
      </c>
    </row>
    <row r="111" spans="1:17" x14ac:dyDescent="0.25">
      <c r="A111">
        <v>691178</v>
      </c>
      <c r="B111">
        <v>1384</v>
      </c>
      <c r="C111" t="s">
        <v>1060</v>
      </c>
      <c r="D111" t="s">
        <v>936</v>
      </c>
      <c r="E111" t="s">
        <v>937</v>
      </c>
      <c r="F111" t="s">
        <v>17</v>
      </c>
      <c r="G111" t="s">
        <v>878</v>
      </c>
      <c r="H111" t="s">
        <v>938</v>
      </c>
      <c r="I111" s="2">
        <v>43451</v>
      </c>
      <c r="J111" t="s">
        <v>873</v>
      </c>
      <c r="K111">
        <v>1</v>
      </c>
      <c r="L111" t="s">
        <v>251</v>
      </c>
      <c r="M111">
        <v>691178</v>
      </c>
      <c r="N111" t="s">
        <v>244</v>
      </c>
      <c r="O111" t="b">
        <v>1</v>
      </c>
      <c r="P111" t="str">
        <f t="shared" si="2"/>
        <v>Del</v>
      </c>
      <c r="Q111" t="str">
        <f t="shared" si="3"/>
        <v>Del</v>
      </c>
    </row>
    <row r="112" spans="1:17" x14ac:dyDescent="0.25">
      <c r="A112">
        <v>691179</v>
      </c>
      <c r="B112">
        <v>1382</v>
      </c>
      <c r="C112" t="s">
        <v>1060</v>
      </c>
      <c r="D112" t="s">
        <v>961</v>
      </c>
      <c r="E112" t="s">
        <v>962</v>
      </c>
      <c r="F112" t="s">
        <v>17</v>
      </c>
      <c r="G112" t="s">
        <v>878</v>
      </c>
      <c r="H112" t="s">
        <v>963</v>
      </c>
      <c r="I112" s="2">
        <v>43451</v>
      </c>
      <c r="J112" t="s">
        <v>873</v>
      </c>
      <c r="K112">
        <v>1</v>
      </c>
      <c r="L112" t="s">
        <v>251</v>
      </c>
      <c r="M112">
        <v>691179</v>
      </c>
      <c r="N112" t="s">
        <v>239</v>
      </c>
      <c r="O112" t="b">
        <v>1</v>
      </c>
      <c r="P112" t="str">
        <f t="shared" si="2"/>
        <v>Del</v>
      </c>
      <c r="Q112" t="str">
        <f t="shared" si="3"/>
        <v>Del</v>
      </c>
    </row>
    <row r="113" spans="1:17" x14ac:dyDescent="0.25">
      <c r="A113">
        <v>707683</v>
      </c>
      <c r="B113">
        <v>2341</v>
      </c>
      <c r="C113" t="s">
        <v>1060</v>
      </c>
      <c r="D113" t="s">
        <v>1053</v>
      </c>
      <c r="E113" t="s">
        <v>1054</v>
      </c>
      <c r="F113" t="s">
        <v>17</v>
      </c>
      <c r="G113" t="s">
        <v>878</v>
      </c>
      <c r="H113" t="s">
        <v>1055</v>
      </c>
      <c r="I113" s="2">
        <v>44392</v>
      </c>
      <c r="J113" t="s">
        <v>873</v>
      </c>
      <c r="K113">
        <v>1</v>
      </c>
      <c r="L113" t="s">
        <v>251</v>
      </c>
      <c r="M113">
        <v>707683</v>
      </c>
      <c r="N113" t="s">
        <v>234</v>
      </c>
      <c r="O113" t="b">
        <v>1</v>
      </c>
      <c r="P113" t="str">
        <f t="shared" si="2"/>
        <v>Del</v>
      </c>
      <c r="Q113" t="str">
        <f t="shared" si="3"/>
        <v>Del</v>
      </c>
    </row>
    <row r="114" spans="1:17" x14ac:dyDescent="0.25">
      <c r="A114">
        <v>691180</v>
      </c>
      <c r="B114">
        <v>1383</v>
      </c>
      <c r="C114" t="s">
        <v>1060</v>
      </c>
      <c r="D114" t="s">
        <v>921</v>
      </c>
      <c r="E114" t="s">
        <v>922</v>
      </c>
      <c r="F114" t="s">
        <v>17</v>
      </c>
      <c r="G114" t="s">
        <v>878</v>
      </c>
      <c r="H114" t="s">
        <v>923</v>
      </c>
      <c r="I114" s="2">
        <v>43451</v>
      </c>
      <c r="J114" t="s">
        <v>873</v>
      </c>
      <c r="K114">
        <v>1</v>
      </c>
      <c r="L114" t="s">
        <v>251</v>
      </c>
      <c r="M114">
        <v>691180</v>
      </c>
      <c r="N114" t="s">
        <v>231</v>
      </c>
      <c r="O114" t="b">
        <v>1</v>
      </c>
      <c r="P114" t="str">
        <f t="shared" si="2"/>
        <v>Del</v>
      </c>
      <c r="Q114" t="str">
        <f t="shared" si="3"/>
        <v>Del</v>
      </c>
    </row>
    <row r="115" spans="1:17" x14ac:dyDescent="0.25">
      <c r="A115">
        <v>707636</v>
      </c>
      <c r="B115">
        <v>2301</v>
      </c>
      <c r="C115" t="s">
        <v>1060</v>
      </c>
      <c r="D115" t="s">
        <v>948</v>
      </c>
      <c r="E115" t="s">
        <v>949</v>
      </c>
      <c r="F115" t="s">
        <v>17</v>
      </c>
      <c r="G115" t="s">
        <v>878</v>
      </c>
      <c r="H115" t="s">
        <v>950</v>
      </c>
      <c r="I115" s="2">
        <v>44392</v>
      </c>
      <c r="J115" t="s">
        <v>873</v>
      </c>
      <c r="K115">
        <v>1</v>
      </c>
      <c r="L115" t="s">
        <v>251</v>
      </c>
      <c r="M115">
        <v>707636</v>
      </c>
      <c r="N115" t="s">
        <v>236</v>
      </c>
      <c r="O115" t="b">
        <v>1</v>
      </c>
      <c r="P115" t="str">
        <f t="shared" si="2"/>
        <v>Del</v>
      </c>
      <c r="Q115" t="str">
        <f t="shared" si="3"/>
        <v>Del</v>
      </c>
    </row>
    <row r="116" spans="1:17" x14ac:dyDescent="0.25">
      <c r="A116">
        <v>596998</v>
      </c>
      <c r="B116">
        <v>1281</v>
      </c>
      <c r="C116" t="s">
        <v>1060</v>
      </c>
      <c r="D116" t="s">
        <v>903</v>
      </c>
      <c r="E116" t="s">
        <v>904</v>
      </c>
      <c r="F116" t="s">
        <v>17</v>
      </c>
      <c r="G116" t="s">
        <v>878</v>
      </c>
      <c r="H116" t="s">
        <v>872</v>
      </c>
      <c r="I116" s="2">
        <v>43313</v>
      </c>
      <c r="J116" t="s">
        <v>873</v>
      </c>
      <c r="K116">
        <v>1</v>
      </c>
      <c r="L116" t="s">
        <v>251</v>
      </c>
      <c r="M116">
        <v>596998</v>
      </c>
      <c r="N116" t="s">
        <v>242</v>
      </c>
      <c r="O116" t="b">
        <v>1</v>
      </c>
      <c r="P116" t="str">
        <f t="shared" si="2"/>
        <v>Del</v>
      </c>
      <c r="Q116" t="str">
        <f t="shared" si="3"/>
        <v>Del</v>
      </c>
    </row>
    <row r="117" spans="1:17" x14ac:dyDescent="0.25">
      <c r="A117">
        <v>698397</v>
      </c>
      <c r="B117">
        <v>1741</v>
      </c>
      <c r="C117" t="s">
        <v>1060</v>
      </c>
      <c r="D117" t="s">
        <v>899</v>
      </c>
      <c r="E117" t="s">
        <v>900</v>
      </c>
      <c r="F117" t="s">
        <v>17</v>
      </c>
      <c r="G117" t="s">
        <v>878</v>
      </c>
      <c r="H117" t="s">
        <v>872</v>
      </c>
      <c r="I117" s="2">
        <v>43935</v>
      </c>
      <c r="J117" t="s">
        <v>873</v>
      </c>
      <c r="K117">
        <v>0</v>
      </c>
      <c r="L117" t="s">
        <v>251</v>
      </c>
      <c r="M117">
        <v>596998</v>
      </c>
      <c r="N117" t="s">
        <v>242</v>
      </c>
      <c r="O117" s="5" t="b">
        <v>0</v>
      </c>
      <c r="P117" t="str">
        <f t="shared" si="2"/>
        <v>Del</v>
      </c>
      <c r="Q117" t="str">
        <f t="shared" si="3"/>
        <v>Del</v>
      </c>
    </row>
    <row r="118" spans="1:17" x14ac:dyDescent="0.25">
      <c r="A118">
        <v>727789</v>
      </c>
      <c r="B118">
        <v>4284</v>
      </c>
      <c r="C118" t="s">
        <v>1060</v>
      </c>
      <c r="D118" t="s">
        <v>901</v>
      </c>
      <c r="E118" t="s">
        <v>902</v>
      </c>
      <c r="F118" t="s">
        <v>17</v>
      </c>
      <c r="G118" t="s">
        <v>878</v>
      </c>
      <c r="H118" t="s">
        <v>872</v>
      </c>
      <c r="I118" s="2">
        <v>45779</v>
      </c>
      <c r="J118" t="s">
        <v>873</v>
      </c>
      <c r="K118">
        <v>0</v>
      </c>
      <c r="L118" t="s">
        <v>251</v>
      </c>
      <c r="M118">
        <v>596998</v>
      </c>
      <c r="N118" t="s">
        <v>242</v>
      </c>
      <c r="O118" s="5" t="b">
        <v>0</v>
      </c>
      <c r="P118" t="str">
        <f t="shared" si="2"/>
        <v>Del</v>
      </c>
      <c r="Q118" t="str">
        <f t="shared" si="3"/>
        <v>Del</v>
      </c>
    </row>
    <row r="119" spans="1:17" x14ac:dyDescent="0.25">
      <c r="A119">
        <v>724730</v>
      </c>
      <c r="B119">
        <v>4122</v>
      </c>
      <c r="C119" t="s">
        <v>1061</v>
      </c>
      <c r="D119" t="s">
        <v>875</v>
      </c>
      <c r="E119" t="s">
        <v>876</v>
      </c>
      <c r="F119" t="s">
        <v>877</v>
      </c>
      <c r="G119" t="s">
        <v>878</v>
      </c>
      <c r="H119" t="s">
        <v>872</v>
      </c>
      <c r="I119" s="2">
        <v>45632</v>
      </c>
      <c r="J119" t="s">
        <v>873</v>
      </c>
      <c r="K119">
        <v>1</v>
      </c>
      <c r="L119" t="s">
        <v>289</v>
      </c>
      <c r="M119">
        <v>724730</v>
      </c>
      <c r="N119" t="s">
        <v>380</v>
      </c>
      <c r="O119" t="b">
        <v>1</v>
      </c>
      <c r="P119" t="str">
        <f t="shared" si="2"/>
        <v>Del</v>
      </c>
      <c r="Q119" t="str">
        <f t="shared" si="3"/>
        <v>Del</v>
      </c>
    </row>
    <row r="120" spans="1:17" x14ac:dyDescent="0.25">
      <c r="A120" t="s">
        <v>16</v>
      </c>
      <c r="C120" t="s">
        <v>726</v>
      </c>
      <c r="L120" t="s">
        <v>289</v>
      </c>
      <c r="M120" t="s">
        <v>16</v>
      </c>
      <c r="N120" t="s">
        <v>15</v>
      </c>
      <c r="O120" t="b">
        <v>1</v>
      </c>
      <c r="P120" t="str">
        <f t="shared" si="2"/>
        <v>TF</v>
      </c>
      <c r="Q120" t="str">
        <f t="shared" si="3"/>
        <v>TF</v>
      </c>
    </row>
    <row r="121" spans="1:17" x14ac:dyDescent="0.25">
      <c r="A121" t="s">
        <v>32</v>
      </c>
      <c r="C121" t="s">
        <v>497</v>
      </c>
      <c r="L121" t="s">
        <v>251</v>
      </c>
      <c r="M121" t="s">
        <v>32</v>
      </c>
      <c r="N121" t="s">
        <v>31</v>
      </c>
      <c r="O121" t="b">
        <v>1</v>
      </c>
      <c r="P121" t="str">
        <f t="shared" si="2"/>
        <v>TF</v>
      </c>
      <c r="Q121" t="str">
        <f t="shared" si="3"/>
        <v>TF</v>
      </c>
    </row>
    <row r="122" spans="1:17" x14ac:dyDescent="0.25">
      <c r="A122" t="s">
        <v>402</v>
      </c>
      <c r="C122" t="s">
        <v>401</v>
      </c>
      <c r="L122" t="s">
        <v>251</v>
      </c>
      <c r="M122" t="s">
        <v>402</v>
      </c>
      <c r="N122" t="s">
        <v>1062</v>
      </c>
      <c r="O122" t="b">
        <v>1</v>
      </c>
      <c r="P122" t="str">
        <f t="shared" si="2"/>
        <v>TF</v>
      </c>
      <c r="Q122" t="str">
        <f t="shared" si="3"/>
        <v>TF</v>
      </c>
    </row>
    <row r="123" spans="1:17" x14ac:dyDescent="0.25">
      <c r="A123" t="s">
        <v>36</v>
      </c>
      <c r="C123" t="s">
        <v>605</v>
      </c>
      <c r="L123" t="s">
        <v>251</v>
      </c>
      <c r="M123" t="s">
        <v>36</v>
      </c>
      <c r="N123" t="s">
        <v>35</v>
      </c>
      <c r="O123" t="b">
        <v>1</v>
      </c>
      <c r="P123" t="str">
        <f t="shared" si="2"/>
        <v>TF</v>
      </c>
      <c r="Q123" t="str">
        <f t="shared" si="3"/>
        <v>TF</v>
      </c>
    </row>
    <row r="124" spans="1:17" x14ac:dyDescent="0.25">
      <c r="A124" t="s">
        <v>52</v>
      </c>
      <c r="C124" t="s">
        <v>751</v>
      </c>
      <c r="L124" t="s">
        <v>289</v>
      </c>
      <c r="M124" t="s">
        <v>52</v>
      </c>
      <c r="N124" t="s">
        <v>51</v>
      </c>
      <c r="O124" t="b">
        <v>1</v>
      </c>
      <c r="P124" t="str">
        <f t="shared" si="2"/>
        <v>TF</v>
      </c>
      <c r="Q124" t="str">
        <f t="shared" si="3"/>
        <v>TF</v>
      </c>
    </row>
    <row r="125" spans="1:17" x14ac:dyDescent="0.25">
      <c r="A125" t="s">
        <v>56</v>
      </c>
      <c r="C125" t="s">
        <v>556</v>
      </c>
      <c r="L125" t="s">
        <v>251</v>
      </c>
      <c r="M125" t="s">
        <v>56</v>
      </c>
      <c r="N125" t="s">
        <v>55</v>
      </c>
      <c r="O125" t="b">
        <v>1</v>
      </c>
      <c r="P125" t="str">
        <f t="shared" si="2"/>
        <v>TF</v>
      </c>
      <c r="Q125" t="str">
        <f t="shared" si="3"/>
        <v>TF</v>
      </c>
    </row>
    <row r="126" spans="1:17" x14ac:dyDescent="0.25">
      <c r="A126" t="s">
        <v>60</v>
      </c>
      <c r="C126" t="s">
        <v>459</v>
      </c>
      <c r="L126" t="s">
        <v>251</v>
      </c>
      <c r="M126" t="s">
        <v>60</v>
      </c>
      <c r="N126" t="s">
        <v>59</v>
      </c>
      <c r="O126" t="b">
        <v>1</v>
      </c>
      <c r="P126" t="str">
        <f t="shared" si="2"/>
        <v>TF</v>
      </c>
      <c r="Q126" t="str">
        <f t="shared" si="3"/>
        <v>TF</v>
      </c>
    </row>
    <row r="127" spans="1:17" x14ac:dyDescent="0.25">
      <c r="A127" t="s">
        <v>71</v>
      </c>
      <c r="C127" t="s">
        <v>728</v>
      </c>
      <c r="L127" t="s">
        <v>289</v>
      </c>
      <c r="M127" t="s">
        <v>71</v>
      </c>
      <c r="N127" t="s">
        <v>70</v>
      </c>
      <c r="O127" t="b">
        <v>1</v>
      </c>
      <c r="P127" t="str">
        <f t="shared" si="2"/>
        <v>TF</v>
      </c>
      <c r="Q127" t="str">
        <f t="shared" si="3"/>
        <v>TF</v>
      </c>
    </row>
    <row r="128" spans="1:17" x14ac:dyDescent="0.25">
      <c r="A128" t="s">
        <v>75</v>
      </c>
      <c r="C128" t="s">
        <v>495</v>
      </c>
      <c r="L128" t="s">
        <v>251</v>
      </c>
      <c r="M128" t="s">
        <v>75</v>
      </c>
      <c r="N128" t="s">
        <v>74</v>
      </c>
      <c r="O128" t="b">
        <v>1</v>
      </c>
      <c r="P128" t="str">
        <f t="shared" si="2"/>
        <v>TF</v>
      </c>
      <c r="Q128" t="str">
        <f t="shared" si="3"/>
        <v>TF</v>
      </c>
    </row>
    <row r="129" spans="1:17" x14ac:dyDescent="0.25">
      <c r="A129" t="s">
        <v>78</v>
      </c>
      <c r="C129" t="s">
        <v>394</v>
      </c>
      <c r="L129" t="s">
        <v>251</v>
      </c>
      <c r="M129" t="s">
        <v>78</v>
      </c>
      <c r="N129" t="s">
        <v>77</v>
      </c>
      <c r="O129" t="b">
        <v>1</v>
      </c>
      <c r="P129" t="str">
        <f t="shared" si="2"/>
        <v>TF</v>
      </c>
      <c r="Q129" t="str">
        <f t="shared" si="3"/>
        <v>TF</v>
      </c>
    </row>
    <row r="130" spans="1:17" x14ac:dyDescent="0.25">
      <c r="A130" t="s">
        <v>90</v>
      </c>
      <c r="C130" t="s">
        <v>1063</v>
      </c>
      <c r="L130" t="s">
        <v>251</v>
      </c>
      <c r="M130" t="s">
        <v>90</v>
      </c>
      <c r="N130" t="s">
        <v>89</v>
      </c>
      <c r="O130" t="b">
        <v>1</v>
      </c>
      <c r="P130" t="str">
        <f t="shared" si="2"/>
        <v>TF</v>
      </c>
      <c r="Q130" t="str">
        <f t="shared" si="3"/>
        <v>TF</v>
      </c>
    </row>
    <row r="131" spans="1:17" x14ac:dyDescent="0.25">
      <c r="A131" t="s">
        <v>98</v>
      </c>
      <c r="C131" t="s">
        <v>535</v>
      </c>
      <c r="L131" t="s">
        <v>251</v>
      </c>
      <c r="M131" t="s">
        <v>98</v>
      </c>
      <c r="N131" t="s">
        <v>97</v>
      </c>
      <c r="O131" t="b">
        <v>1</v>
      </c>
      <c r="P131" t="str">
        <f t="shared" ref="P131:P165" si="4">IF(LEN(A131)&gt;8,"TF","Del")</f>
        <v>TF</v>
      </c>
      <c r="Q131" t="str">
        <f t="shared" ref="Q131:Q165" si="5">IF(LEN(M131)&gt;8,"TF","Del")</f>
        <v>TF</v>
      </c>
    </row>
    <row r="132" spans="1:17" x14ac:dyDescent="0.25">
      <c r="A132" t="s">
        <v>101</v>
      </c>
      <c r="C132" t="s">
        <v>1064</v>
      </c>
      <c r="L132" t="s">
        <v>251</v>
      </c>
      <c r="M132" t="s">
        <v>101</v>
      </c>
      <c r="N132" t="s">
        <v>100</v>
      </c>
      <c r="O132" t="b">
        <v>1</v>
      </c>
      <c r="P132" t="str">
        <f t="shared" si="4"/>
        <v>TF</v>
      </c>
      <c r="Q132" t="str">
        <f t="shared" si="5"/>
        <v>TF</v>
      </c>
    </row>
    <row r="133" spans="1:17" x14ac:dyDescent="0.25">
      <c r="A133" t="s">
        <v>106</v>
      </c>
      <c r="C133" t="s">
        <v>540</v>
      </c>
      <c r="L133" t="s">
        <v>251</v>
      </c>
      <c r="M133" t="s">
        <v>106</v>
      </c>
      <c r="N133" t="s">
        <v>105</v>
      </c>
      <c r="O133" t="b">
        <v>1</v>
      </c>
      <c r="P133" t="str">
        <f t="shared" si="4"/>
        <v>TF</v>
      </c>
      <c r="Q133" t="str">
        <f t="shared" si="5"/>
        <v>TF</v>
      </c>
    </row>
    <row r="134" spans="1:17" x14ac:dyDescent="0.25">
      <c r="A134" t="s">
        <v>109</v>
      </c>
      <c r="C134" t="s">
        <v>524</v>
      </c>
      <c r="L134" t="s">
        <v>251</v>
      </c>
      <c r="M134" t="s">
        <v>109</v>
      </c>
      <c r="N134" t="s">
        <v>108</v>
      </c>
      <c r="O134" t="b">
        <v>1</v>
      </c>
      <c r="P134" t="str">
        <f t="shared" si="4"/>
        <v>TF</v>
      </c>
      <c r="Q134" t="str">
        <f t="shared" si="5"/>
        <v>TF</v>
      </c>
    </row>
    <row r="135" spans="1:17" x14ac:dyDescent="0.25">
      <c r="A135" t="s">
        <v>503</v>
      </c>
      <c r="C135" t="s">
        <v>502</v>
      </c>
      <c r="L135" t="s">
        <v>251</v>
      </c>
      <c r="M135" t="s">
        <v>503</v>
      </c>
      <c r="N135" t="s">
        <v>1065</v>
      </c>
      <c r="O135" t="b">
        <v>1</v>
      </c>
      <c r="P135" t="str">
        <f t="shared" si="4"/>
        <v>TF</v>
      </c>
      <c r="Q135" t="str">
        <f t="shared" si="5"/>
        <v>TF</v>
      </c>
    </row>
    <row r="136" spans="1:17" x14ac:dyDescent="0.25">
      <c r="A136" t="s">
        <v>586</v>
      </c>
      <c r="C136" t="s">
        <v>585</v>
      </c>
      <c r="L136" t="s">
        <v>251</v>
      </c>
      <c r="M136" t="s">
        <v>586</v>
      </c>
      <c r="N136" t="s">
        <v>1066</v>
      </c>
      <c r="O136" t="b">
        <v>1</v>
      </c>
      <c r="P136" t="str">
        <f t="shared" si="4"/>
        <v>TF</v>
      </c>
      <c r="Q136" t="str">
        <f t="shared" si="5"/>
        <v>TF</v>
      </c>
    </row>
    <row r="137" spans="1:17" x14ac:dyDescent="0.25">
      <c r="A137" t="s">
        <v>118</v>
      </c>
      <c r="C137" t="s">
        <v>454</v>
      </c>
      <c r="L137" t="s">
        <v>251</v>
      </c>
      <c r="M137" t="s">
        <v>118</v>
      </c>
      <c r="N137" t="s">
        <v>117</v>
      </c>
      <c r="O137" t="b">
        <v>1</v>
      </c>
      <c r="P137" t="str">
        <f t="shared" si="4"/>
        <v>TF</v>
      </c>
      <c r="Q137" t="str">
        <f t="shared" si="5"/>
        <v>TF</v>
      </c>
    </row>
    <row r="138" spans="1:17" x14ac:dyDescent="0.25">
      <c r="A138" t="s">
        <v>124</v>
      </c>
      <c r="C138" t="s">
        <v>765</v>
      </c>
      <c r="L138" t="s">
        <v>289</v>
      </c>
      <c r="M138" t="s">
        <v>124</v>
      </c>
      <c r="N138" t="s">
        <v>123</v>
      </c>
      <c r="O138" t="b">
        <v>1</v>
      </c>
      <c r="P138" t="str">
        <f t="shared" si="4"/>
        <v>TF</v>
      </c>
      <c r="Q138" t="str">
        <f t="shared" si="5"/>
        <v>TF</v>
      </c>
    </row>
    <row r="139" spans="1:17" x14ac:dyDescent="0.25">
      <c r="A139" t="s">
        <v>136</v>
      </c>
      <c r="C139" t="s">
        <v>558</v>
      </c>
      <c r="L139" t="s">
        <v>251</v>
      </c>
      <c r="M139" t="s">
        <v>136</v>
      </c>
      <c r="N139" t="s">
        <v>135</v>
      </c>
      <c r="O139" t="b">
        <v>1</v>
      </c>
      <c r="P139" t="str">
        <f t="shared" si="4"/>
        <v>TF</v>
      </c>
      <c r="Q139" t="str">
        <f t="shared" si="5"/>
        <v>TF</v>
      </c>
    </row>
    <row r="140" spans="1:17" x14ac:dyDescent="0.25">
      <c r="A140" t="s">
        <v>653</v>
      </c>
      <c r="C140" t="s">
        <v>652</v>
      </c>
      <c r="L140" t="s">
        <v>1067</v>
      </c>
      <c r="M140" t="s">
        <v>653</v>
      </c>
      <c r="N140" t="s">
        <v>1068</v>
      </c>
      <c r="O140" t="b">
        <v>1</v>
      </c>
      <c r="P140" t="str">
        <f t="shared" si="4"/>
        <v>TF</v>
      </c>
      <c r="Q140" t="str">
        <f t="shared" si="5"/>
        <v>TF</v>
      </c>
    </row>
    <row r="141" spans="1:17" x14ac:dyDescent="0.25">
      <c r="A141" t="s">
        <v>157</v>
      </c>
      <c r="C141" t="s">
        <v>475</v>
      </c>
      <c r="L141" t="s">
        <v>251</v>
      </c>
      <c r="M141" t="s">
        <v>157</v>
      </c>
      <c r="N141" t="s">
        <v>156</v>
      </c>
      <c r="O141" t="b">
        <v>1</v>
      </c>
      <c r="P141" t="str">
        <f t="shared" si="4"/>
        <v>TF</v>
      </c>
      <c r="Q141" t="str">
        <f t="shared" si="5"/>
        <v>TF</v>
      </c>
    </row>
    <row r="142" spans="1:17" x14ac:dyDescent="0.25">
      <c r="A142" t="s">
        <v>162</v>
      </c>
      <c r="C142" t="s">
        <v>705</v>
      </c>
      <c r="L142" t="s">
        <v>289</v>
      </c>
      <c r="M142" t="s">
        <v>162</v>
      </c>
      <c r="N142" t="s">
        <v>161</v>
      </c>
      <c r="O142" t="b">
        <v>1</v>
      </c>
      <c r="P142" t="str">
        <f t="shared" si="4"/>
        <v>TF</v>
      </c>
      <c r="Q142" t="str">
        <f t="shared" si="5"/>
        <v>TF</v>
      </c>
    </row>
    <row r="143" spans="1:17" x14ac:dyDescent="0.25">
      <c r="A143" t="s">
        <v>165</v>
      </c>
      <c r="C143" t="s">
        <v>449</v>
      </c>
      <c r="L143" t="s">
        <v>251</v>
      </c>
      <c r="M143" t="s">
        <v>165</v>
      </c>
      <c r="N143" t="s">
        <v>164</v>
      </c>
      <c r="O143" t="b">
        <v>1</v>
      </c>
      <c r="P143" t="str">
        <f t="shared" si="4"/>
        <v>TF</v>
      </c>
      <c r="Q143" t="str">
        <f t="shared" si="5"/>
        <v>TF</v>
      </c>
    </row>
    <row r="144" spans="1:17" x14ac:dyDescent="0.25">
      <c r="A144" t="s">
        <v>172</v>
      </c>
      <c r="C144" t="s">
        <v>1069</v>
      </c>
      <c r="L144" t="s">
        <v>251</v>
      </c>
      <c r="M144" t="s">
        <v>172</v>
      </c>
      <c r="N144" t="s">
        <v>171</v>
      </c>
      <c r="O144" t="b">
        <v>1</v>
      </c>
      <c r="P144" t="str">
        <f t="shared" si="4"/>
        <v>TF</v>
      </c>
      <c r="Q144" t="str">
        <f t="shared" si="5"/>
        <v>TF</v>
      </c>
    </row>
    <row r="145" spans="1:17" x14ac:dyDescent="0.25">
      <c r="A145" t="s">
        <v>192</v>
      </c>
      <c r="C145" t="s">
        <v>600</v>
      </c>
      <c r="L145" t="s">
        <v>251</v>
      </c>
      <c r="M145" t="s">
        <v>192</v>
      </c>
      <c r="N145" t="s">
        <v>191</v>
      </c>
      <c r="O145" t="b">
        <v>1</v>
      </c>
      <c r="P145" t="str">
        <f t="shared" si="4"/>
        <v>TF</v>
      </c>
      <c r="Q145" t="str">
        <f t="shared" si="5"/>
        <v>TF</v>
      </c>
    </row>
    <row r="146" spans="1:17" x14ac:dyDescent="0.25">
      <c r="A146" t="s">
        <v>200</v>
      </c>
      <c r="C146" t="s">
        <v>513</v>
      </c>
      <c r="L146" t="s">
        <v>251</v>
      </c>
      <c r="M146" t="s">
        <v>200</v>
      </c>
      <c r="N146" t="s">
        <v>199</v>
      </c>
      <c r="O146" t="b">
        <v>1</v>
      </c>
      <c r="P146" t="str">
        <f t="shared" si="4"/>
        <v>TF</v>
      </c>
      <c r="Q146" t="str">
        <f t="shared" si="5"/>
        <v>TF</v>
      </c>
    </row>
    <row r="147" spans="1:17" x14ac:dyDescent="0.25">
      <c r="A147" t="s">
        <v>206</v>
      </c>
      <c r="C147" t="s">
        <v>505</v>
      </c>
      <c r="L147" t="s">
        <v>251</v>
      </c>
      <c r="M147" t="s">
        <v>206</v>
      </c>
      <c r="N147" t="s">
        <v>205</v>
      </c>
      <c r="O147" t="b">
        <v>1</v>
      </c>
      <c r="P147" t="str">
        <f t="shared" si="4"/>
        <v>TF</v>
      </c>
      <c r="Q147" t="str">
        <f t="shared" si="5"/>
        <v>TF</v>
      </c>
    </row>
    <row r="148" spans="1:17" x14ac:dyDescent="0.25">
      <c r="A148" t="s">
        <v>650</v>
      </c>
      <c r="C148" t="s">
        <v>649</v>
      </c>
      <c r="L148" t="s">
        <v>1070</v>
      </c>
      <c r="M148" t="s">
        <v>650</v>
      </c>
      <c r="N148" t="s">
        <v>1071</v>
      </c>
      <c r="O148" t="b">
        <v>1</v>
      </c>
      <c r="P148" t="str">
        <f t="shared" si="4"/>
        <v>TF</v>
      </c>
      <c r="Q148" t="str">
        <f t="shared" si="5"/>
        <v>TF</v>
      </c>
    </row>
    <row r="149" spans="1:17" x14ac:dyDescent="0.25">
      <c r="A149" t="s">
        <v>229</v>
      </c>
      <c r="C149" t="s">
        <v>447</v>
      </c>
      <c r="L149" t="s">
        <v>251</v>
      </c>
      <c r="M149" t="s">
        <v>229</v>
      </c>
      <c r="N149" t="s">
        <v>228</v>
      </c>
      <c r="O149" t="b">
        <v>1</v>
      </c>
      <c r="P149" t="str">
        <f t="shared" si="4"/>
        <v>TF</v>
      </c>
      <c r="Q149" t="str">
        <f t="shared" si="5"/>
        <v>TF</v>
      </c>
    </row>
    <row r="150" spans="1:17" x14ac:dyDescent="0.25">
      <c r="A150" t="s">
        <v>248</v>
      </c>
      <c r="C150" t="s">
        <v>593</v>
      </c>
      <c r="L150" t="s">
        <v>289</v>
      </c>
      <c r="M150" t="s">
        <v>248</v>
      </c>
      <c r="N150" t="s">
        <v>247</v>
      </c>
      <c r="O150" t="b">
        <v>1</v>
      </c>
      <c r="P150" t="str">
        <f t="shared" si="4"/>
        <v>TF</v>
      </c>
      <c r="Q150" t="str">
        <f t="shared" si="5"/>
        <v>TF</v>
      </c>
    </row>
    <row r="151" spans="1:17" x14ac:dyDescent="0.25">
      <c r="A151" t="s">
        <v>256</v>
      </c>
      <c r="C151" t="s">
        <v>554</v>
      </c>
      <c r="L151" t="s">
        <v>251</v>
      </c>
      <c r="M151" t="s">
        <v>256</v>
      </c>
      <c r="N151" t="s">
        <v>255</v>
      </c>
      <c r="O151" t="b">
        <v>1</v>
      </c>
      <c r="P151" t="str">
        <f t="shared" si="4"/>
        <v>TF</v>
      </c>
      <c r="Q151" t="str">
        <f t="shared" si="5"/>
        <v>TF</v>
      </c>
    </row>
    <row r="152" spans="1:17" x14ac:dyDescent="0.25">
      <c r="A152" t="s">
        <v>264</v>
      </c>
      <c r="C152" t="s">
        <v>424</v>
      </c>
      <c r="L152" t="s">
        <v>251</v>
      </c>
      <c r="M152" t="s">
        <v>264</v>
      </c>
      <c r="N152" t="s">
        <v>263</v>
      </c>
      <c r="O152" t="b">
        <v>1</v>
      </c>
      <c r="P152" t="str">
        <f t="shared" si="4"/>
        <v>TF</v>
      </c>
      <c r="Q152" t="str">
        <f t="shared" si="5"/>
        <v>TF</v>
      </c>
    </row>
    <row r="153" spans="1:17" x14ac:dyDescent="0.25">
      <c r="A153" t="s">
        <v>281</v>
      </c>
      <c r="C153" t="s">
        <v>1072</v>
      </c>
      <c r="L153" t="s">
        <v>251</v>
      </c>
      <c r="M153" t="s">
        <v>281</v>
      </c>
      <c r="N153" t="s">
        <v>280</v>
      </c>
      <c r="O153" t="b">
        <v>1</v>
      </c>
      <c r="P153" t="str">
        <f t="shared" si="4"/>
        <v>TF</v>
      </c>
      <c r="Q153" t="str">
        <f t="shared" si="5"/>
        <v>TF</v>
      </c>
    </row>
    <row r="154" spans="1:17" x14ac:dyDescent="0.25">
      <c r="A154" t="s">
        <v>286</v>
      </c>
      <c r="C154" t="s">
        <v>707</v>
      </c>
      <c r="L154" t="s">
        <v>289</v>
      </c>
      <c r="M154" t="s">
        <v>286</v>
      </c>
      <c r="N154" t="s">
        <v>285</v>
      </c>
      <c r="O154" t="b">
        <v>1</v>
      </c>
      <c r="P154" t="str">
        <f t="shared" si="4"/>
        <v>TF</v>
      </c>
      <c r="Q154" t="str">
        <f t="shared" si="5"/>
        <v>TF</v>
      </c>
    </row>
    <row r="155" spans="1:17" x14ac:dyDescent="0.25">
      <c r="A155" t="s">
        <v>291</v>
      </c>
      <c r="C155" t="s">
        <v>419</v>
      </c>
      <c r="L155" t="s">
        <v>251</v>
      </c>
      <c r="M155" t="s">
        <v>291</v>
      </c>
      <c r="N155" t="s">
        <v>290</v>
      </c>
      <c r="O155" t="b">
        <v>1</v>
      </c>
      <c r="P155" t="str">
        <f t="shared" si="4"/>
        <v>TF</v>
      </c>
      <c r="Q155" t="str">
        <f t="shared" si="5"/>
        <v>TF</v>
      </c>
    </row>
    <row r="156" spans="1:17" x14ac:dyDescent="0.25">
      <c r="A156" t="s">
        <v>322</v>
      </c>
      <c r="C156" t="s">
        <v>680</v>
      </c>
      <c r="L156" t="s">
        <v>289</v>
      </c>
      <c r="M156" t="s">
        <v>322</v>
      </c>
      <c r="N156" t="s">
        <v>321</v>
      </c>
      <c r="O156" t="b">
        <v>1</v>
      </c>
      <c r="P156" t="str">
        <f t="shared" si="4"/>
        <v>TF</v>
      </c>
      <c r="Q156" t="str">
        <f t="shared" si="5"/>
        <v>TF</v>
      </c>
    </row>
    <row r="157" spans="1:17" x14ac:dyDescent="0.25">
      <c r="A157" t="s">
        <v>326</v>
      </c>
      <c r="C157" t="s">
        <v>667</v>
      </c>
      <c r="L157" t="s">
        <v>289</v>
      </c>
      <c r="M157" t="s">
        <v>326</v>
      </c>
      <c r="N157" t="s">
        <v>325</v>
      </c>
      <c r="O157" t="b">
        <v>1</v>
      </c>
      <c r="P157" t="str">
        <f t="shared" si="4"/>
        <v>TF</v>
      </c>
      <c r="Q157" t="str">
        <f t="shared" si="5"/>
        <v>TF</v>
      </c>
    </row>
    <row r="158" spans="1:17" x14ac:dyDescent="0.25">
      <c r="A158" t="s">
        <v>333</v>
      </c>
      <c r="C158" t="s">
        <v>718</v>
      </c>
      <c r="L158" t="s">
        <v>251</v>
      </c>
      <c r="M158" t="s">
        <v>333</v>
      </c>
      <c r="N158" t="s">
        <v>332</v>
      </c>
      <c r="O158" t="b">
        <v>1</v>
      </c>
      <c r="P158" t="str">
        <f t="shared" si="4"/>
        <v>TF</v>
      </c>
      <c r="Q158" t="str">
        <f t="shared" si="5"/>
        <v>TF</v>
      </c>
    </row>
    <row r="159" spans="1:17" x14ac:dyDescent="0.25">
      <c r="A159" t="s">
        <v>408</v>
      </c>
      <c r="C159" t="s">
        <v>407</v>
      </c>
      <c r="L159" t="s">
        <v>251</v>
      </c>
      <c r="M159" t="s">
        <v>408</v>
      </c>
      <c r="N159" t="s">
        <v>1073</v>
      </c>
      <c r="O159" t="b">
        <v>1</v>
      </c>
      <c r="P159" t="str">
        <f t="shared" si="4"/>
        <v>TF</v>
      </c>
      <c r="Q159" t="str">
        <f t="shared" si="5"/>
        <v>TF</v>
      </c>
    </row>
    <row r="160" spans="1:17" x14ac:dyDescent="0.25">
      <c r="A160" t="s">
        <v>670</v>
      </c>
      <c r="C160" t="s">
        <v>669</v>
      </c>
      <c r="L160" t="s">
        <v>289</v>
      </c>
      <c r="M160" t="s">
        <v>670</v>
      </c>
      <c r="N160" t="s">
        <v>1074</v>
      </c>
      <c r="O160" t="b">
        <v>1</v>
      </c>
      <c r="P160" t="str">
        <f t="shared" si="4"/>
        <v>TF</v>
      </c>
      <c r="Q160" t="str">
        <f t="shared" si="5"/>
        <v>TF</v>
      </c>
    </row>
    <row r="161" spans="1:17" x14ac:dyDescent="0.25">
      <c r="A161" t="s">
        <v>340</v>
      </c>
      <c r="C161" t="s">
        <v>672</v>
      </c>
      <c r="L161" t="s">
        <v>289</v>
      </c>
      <c r="M161" t="s">
        <v>340</v>
      </c>
      <c r="N161" t="s">
        <v>339</v>
      </c>
      <c r="O161" t="b">
        <v>1</v>
      </c>
      <c r="P161" t="str">
        <f t="shared" si="4"/>
        <v>TF</v>
      </c>
      <c r="Q161" t="str">
        <f t="shared" si="5"/>
        <v>TF</v>
      </c>
    </row>
    <row r="162" spans="1:17" x14ac:dyDescent="0.25">
      <c r="A162" t="s">
        <v>549</v>
      </c>
      <c r="C162" t="s">
        <v>548</v>
      </c>
      <c r="L162" t="s">
        <v>251</v>
      </c>
      <c r="M162" t="s">
        <v>549</v>
      </c>
      <c r="N162" t="s">
        <v>1075</v>
      </c>
      <c r="O162" t="b">
        <v>1</v>
      </c>
      <c r="P162" t="str">
        <f t="shared" si="4"/>
        <v>TF</v>
      </c>
      <c r="Q162" t="str">
        <f t="shared" si="5"/>
        <v>TF</v>
      </c>
    </row>
    <row r="163" spans="1:17" x14ac:dyDescent="0.25">
      <c r="A163" t="s">
        <v>724</v>
      </c>
      <c r="C163" t="s">
        <v>723</v>
      </c>
      <c r="L163" t="s">
        <v>289</v>
      </c>
      <c r="M163" t="s">
        <v>724</v>
      </c>
      <c r="N163" t="s">
        <v>1076</v>
      </c>
      <c r="O163" t="b">
        <v>1</v>
      </c>
      <c r="P163" t="str">
        <f t="shared" si="4"/>
        <v>TF</v>
      </c>
      <c r="Q163" t="str">
        <f t="shared" si="5"/>
        <v>TF</v>
      </c>
    </row>
    <row r="164" spans="1:17" x14ac:dyDescent="0.25">
      <c r="A164" t="s">
        <v>298</v>
      </c>
      <c r="C164" t="s">
        <v>691</v>
      </c>
      <c r="L164" t="s">
        <v>289</v>
      </c>
      <c r="M164" t="s">
        <v>298</v>
      </c>
      <c r="N164" t="s">
        <v>297</v>
      </c>
      <c r="O164" t="b">
        <v>1</v>
      </c>
      <c r="P164" t="str">
        <f t="shared" si="4"/>
        <v>TF</v>
      </c>
      <c r="Q164" t="str">
        <f t="shared" si="5"/>
        <v>TF</v>
      </c>
    </row>
    <row r="165" spans="1:17" x14ac:dyDescent="0.25">
      <c r="A165" t="s">
        <v>329</v>
      </c>
      <c r="C165" t="s">
        <v>563</v>
      </c>
      <c r="L165" t="s">
        <v>251</v>
      </c>
      <c r="M165" t="s">
        <v>329</v>
      </c>
      <c r="N165" t="s">
        <v>328</v>
      </c>
      <c r="O165" t="b">
        <v>1</v>
      </c>
      <c r="P165" t="str">
        <f t="shared" si="4"/>
        <v>TF</v>
      </c>
      <c r="Q165" t="str">
        <f t="shared" si="5"/>
        <v>TF</v>
      </c>
    </row>
  </sheetData>
  <autoFilter ref="A1:R165" xr:uid="{9DB5E48A-C761-460E-B288-5D8C95D0284D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5EFD-6B18-4A1E-9B08-A55D8CCC3A67}">
  <sheetPr filterMode="1"/>
  <dimension ref="A1:B130"/>
  <sheetViews>
    <sheetView workbookViewId="0">
      <selection activeCell="B16" sqref="B16"/>
    </sheetView>
  </sheetViews>
  <sheetFormatPr defaultRowHeight="15" x14ac:dyDescent="0.25"/>
  <cols>
    <col min="1" max="1" width="13.28515625" bestFit="1" customWidth="1"/>
  </cols>
  <sheetData>
    <row r="1" spans="1:2" x14ac:dyDescent="0.25">
      <c r="A1" t="s">
        <v>862</v>
      </c>
    </row>
    <row r="2" spans="1:2" hidden="1" x14ac:dyDescent="0.25">
      <c r="A2">
        <v>708786</v>
      </c>
      <c r="B2">
        <f>VLOOKUP(A2,FinalMap!B:B,1,0)</f>
        <v>708786</v>
      </c>
    </row>
    <row r="3" spans="1:2" hidden="1" x14ac:dyDescent="0.25">
      <c r="A3">
        <v>724767</v>
      </c>
      <c r="B3">
        <f>VLOOKUP(A3,FinalMap!B:B,1,0)</f>
        <v>724767</v>
      </c>
    </row>
    <row r="4" spans="1:2" hidden="1" x14ac:dyDescent="0.25">
      <c r="A4">
        <v>657375</v>
      </c>
      <c r="B4">
        <f>VLOOKUP(A4,FinalMap!B:B,1,0)</f>
        <v>657375</v>
      </c>
    </row>
    <row r="5" spans="1:2" hidden="1" x14ac:dyDescent="0.25">
      <c r="A5">
        <v>719168</v>
      </c>
      <c r="B5">
        <f>VLOOKUP(A5,FinalMap!B:B,1,0)</f>
        <v>719168</v>
      </c>
    </row>
    <row r="6" spans="1:2" hidden="1" x14ac:dyDescent="0.25">
      <c r="A6">
        <v>719169</v>
      </c>
      <c r="B6">
        <f>VLOOKUP(A6,FinalMap!B:B,1,0)</f>
        <v>719169</v>
      </c>
    </row>
    <row r="7" spans="1:2" hidden="1" x14ac:dyDescent="0.25">
      <c r="A7">
        <v>597012</v>
      </c>
      <c r="B7">
        <f>VLOOKUP(A7,FinalMap!B:B,1,0)</f>
        <v>597012</v>
      </c>
    </row>
    <row r="8" spans="1:2" hidden="1" x14ac:dyDescent="0.25">
      <c r="A8">
        <v>597016</v>
      </c>
      <c r="B8">
        <f>VLOOKUP(A8,FinalMap!B:B,1,0)</f>
        <v>597016</v>
      </c>
    </row>
    <row r="9" spans="1:2" hidden="1" x14ac:dyDescent="0.25">
      <c r="A9" s="5">
        <v>686585</v>
      </c>
      <c r="B9">
        <f>VLOOKUP(A9,FinalMap!B:B,1,0)</f>
        <v>686585</v>
      </c>
    </row>
    <row r="10" spans="1:2" hidden="1" x14ac:dyDescent="0.25">
      <c r="A10">
        <v>597009</v>
      </c>
      <c r="B10">
        <f>VLOOKUP(A10,FinalMap!B:B,1,0)</f>
        <v>597009</v>
      </c>
    </row>
    <row r="11" spans="1:2" hidden="1" x14ac:dyDescent="0.25">
      <c r="A11">
        <v>724627</v>
      </c>
      <c r="B11">
        <f>VLOOKUP(A11,FinalMap!B:B,1,0)</f>
        <v>724627</v>
      </c>
    </row>
    <row r="12" spans="1:2" hidden="1" x14ac:dyDescent="0.25">
      <c r="A12">
        <v>716407</v>
      </c>
      <c r="B12">
        <f>VLOOKUP(A12,FinalMap!B:B,1,0)</f>
        <v>716407</v>
      </c>
    </row>
    <row r="13" spans="1:2" hidden="1" x14ac:dyDescent="0.25">
      <c r="A13">
        <v>714548</v>
      </c>
      <c r="B13">
        <f>VLOOKUP(A13,FinalMap!B:B,1,0)</f>
        <v>714548</v>
      </c>
    </row>
    <row r="14" spans="1:2" hidden="1" x14ac:dyDescent="0.25">
      <c r="A14">
        <v>701535</v>
      </c>
      <c r="B14">
        <f>VLOOKUP(A14,FinalMap!B:B,1,0)</f>
        <v>701535</v>
      </c>
    </row>
    <row r="15" spans="1:2" hidden="1" x14ac:dyDescent="0.25">
      <c r="A15">
        <v>724572</v>
      </c>
      <c r="B15">
        <f>VLOOKUP(A15,FinalMap!B:B,1,0)</f>
        <v>724572</v>
      </c>
    </row>
    <row r="16" spans="1:2" x14ac:dyDescent="0.25">
      <c r="A16">
        <v>713972</v>
      </c>
      <c r="B16" t="e">
        <f>VLOOKUP(A16,FinalMap!B:B,1,0)</f>
        <v>#N/A</v>
      </c>
    </row>
    <row r="17" spans="1:2" hidden="1" x14ac:dyDescent="0.25">
      <c r="A17">
        <v>689939</v>
      </c>
      <c r="B17">
        <f>VLOOKUP(A17,FinalMap!B:B,1,0)</f>
        <v>689939</v>
      </c>
    </row>
    <row r="18" spans="1:2" hidden="1" x14ac:dyDescent="0.25">
      <c r="A18" t="s">
        <v>260</v>
      </c>
      <c r="B18" t="str">
        <f>VLOOKUP(A18,FinalMap!B:B,1,0)</f>
        <v>GFJQ</v>
      </c>
    </row>
    <row r="19" spans="1:2" hidden="1" x14ac:dyDescent="0.25">
      <c r="A19">
        <v>722285</v>
      </c>
      <c r="B19">
        <f>VLOOKUP(A19,FinalMap!B:B,1,0)</f>
        <v>722285</v>
      </c>
    </row>
    <row r="20" spans="1:2" hidden="1" x14ac:dyDescent="0.25">
      <c r="A20">
        <v>692350</v>
      </c>
      <c r="B20">
        <f>VLOOKUP(A20,FinalMap!B:B,1,0)</f>
        <v>692350</v>
      </c>
    </row>
    <row r="21" spans="1:2" hidden="1" x14ac:dyDescent="0.25">
      <c r="A21" t="s">
        <v>274</v>
      </c>
      <c r="B21" t="str">
        <f>VLOOKUP(A21,FinalMap!B:B,1,0)</f>
        <v>GFJY</v>
      </c>
    </row>
    <row r="22" spans="1:2" hidden="1" x14ac:dyDescent="0.25">
      <c r="A22">
        <v>642651</v>
      </c>
      <c r="B22">
        <f>VLOOKUP(A22,FinalMap!B:B,1,0)</f>
        <v>642651</v>
      </c>
    </row>
    <row r="23" spans="1:2" hidden="1" x14ac:dyDescent="0.25">
      <c r="A23">
        <v>596990</v>
      </c>
      <c r="B23">
        <f>VLOOKUP(A23,FinalMap!B:B,1,0)</f>
        <v>596990</v>
      </c>
    </row>
    <row r="24" spans="1:2" hidden="1" x14ac:dyDescent="0.25">
      <c r="A24">
        <v>681724</v>
      </c>
      <c r="B24">
        <f>VLOOKUP(A24,FinalMap!B:B,1,0)</f>
        <v>681724</v>
      </c>
    </row>
    <row r="25" spans="1:2" hidden="1" x14ac:dyDescent="0.25">
      <c r="A25">
        <v>712560</v>
      </c>
      <c r="B25">
        <f>VLOOKUP(A25,FinalMap!B:B,1,0)</f>
        <v>712560</v>
      </c>
    </row>
    <row r="26" spans="1:2" hidden="1" x14ac:dyDescent="0.25">
      <c r="A26">
        <v>711342</v>
      </c>
      <c r="B26">
        <f>VLOOKUP(A26,FinalMap!B:B,1,0)</f>
        <v>711342</v>
      </c>
    </row>
    <row r="27" spans="1:2" hidden="1" x14ac:dyDescent="0.25">
      <c r="A27">
        <v>718928</v>
      </c>
      <c r="B27">
        <f>VLOOKUP(A27,FinalMap!B:B,1,0)</f>
        <v>718928</v>
      </c>
    </row>
    <row r="28" spans="1:2" hidden="1" x14ac:dyDescent="0.25">
      <c r="A28">
        <v>714703</v>
      </c>
      <c r="B28">
        <f>VLOOKUP(A28,FinalMap!B:B,1,0)</f>
        <v>714703</v>
      </c>
    </row>
    <row r="29" spans="1:2" hidden="1" x14ac:dyDescent="0.25">
      <c r="A29">
        <v>707638</v>
      </c>
      <c r="B29">
        <f>VLOOKUP(A29,FinalMap!B:B,1,0)</f>
        <v>707638</v>
      </c>
    </row>
    <row r="30" spans="1:2" hidden="1" x14ac:dyDescent="0.25">
      <c r="A30">
        <v>722394</v>
      </c>
      <c r="B30">
        <f>VLOOKUP(A30,FinalMap!B:B,1,0)</f>
        <v>722394</v>
      </c>
    </row>
    <row r="31" spans="1:2" hidden="1" x14ac:dyDescent="0.25">
      <c r="A31">
        <v>716405</v>
      </c>
      <c r="B31">
        <f>VLOOKUP(A31,FinalMap!B:B,1,0)</f>
        <v>716405</v>
      </c>
    </row>
    <row r="32" spans="1:2" hidden="1" x14ac:dyDescent="0.25">
      <c r="A32">
        <v>708787</v>
      </c>
      <c r="B32">
        <f>VLOOKUP(A32,FinalMap!B:B,1,0)</f>
        <v>708787</v>
      </c>
    </row>
    <row r="33" spans="1:2" hidden="1" x14ac:dyDescent="0.25">
      <c r="A33">
        <v>714113</v>
      </c>
      <c r="B33">
        <f>VLOOKUP(A33,FinalMap!B:B,1,0)</f>
        <v>714113</v>
      </c>
    </row>
    <row r="34" spans="1:2" hidden="1" x14ac:dyDescent="0.25">
      <c r="A34">
        <v>716542</v>
      </c>
      <c r="B34">
        <f>VLOOKUP(A34,FinalMap!B:B,1,0)</f>
        <v>716542</v>
      </c>
    </row>
    <row r="35" spans="1:2" hidden="1" x14ac:dyDescent="0.25">
      <c r="A35">
        <v>718556</v>
      </c>
      <c r="B35">
        <f>VLOOKUP(A35,FinalMap!B:B,1,0)</f>
        <v>718556</v>
      </c>
    </row>
    <row r="36" spans="1:2" hidden="1" x14ac:dyDescent="0.25">
      <c r="A36">
        <v>682593</v>
      </c>
      <c r="B36">
        <f>VLOOKUP(A36,FinalMap!B:B,1,0)</f>
        <v>682593</v>
      </c>
    </row>
    <row r="37" spans="1:2" x14ac:dyDescent="0.25">
      <c r="A37">
        <v>726052</v>
      </c>
      <c r="B37" t="e">
        <f>VLOOKUP(A37,FinalMap!B:B,1,0)</f>
        <v>#N/A</v>
      </c>
    </row>
    <row r="38" spans="1:2" hidden="1" x14ac:dyDescent="0.25">
      <c r="A38">
        <v>682592</v>
      </c>
      <c r="B38">
        <f>VLOOKUP(A38,FinalMap!B:B,1,0)</f>
        <v>682592</v>
      </c>
    </row>
    <row r="39" spans="1:2" hidden="1" x14ac:dyDescent="0.25">
      <c r="A39">
        <v>703827</v>
      </c>
      <c r="B39">
        <f>VLOOKUP(A39,FinalMap!B:B,1,0)</f>
        <v>703827</v>
      </c>
    </row>
    <row r="40" spans="1:2" hidden="1" x14ac:dyDescent="0.25">
      <c r="A40">
        <v>713420</v>
      </c>
      <c r="B40">
        <f>VLOOKUP(A40,FinalMap!B:B,1,0)</f>
        <v>713420</v>
      </c>
    </row>
    <row r="41" spans="1:2" hidden="1" x14ac:dyDescent="0.25">
      <c r="A41">
        <v>708784</v>
      </c>
      <c r="B41">
        <f>VLOOKUP(A41,FinalMap!B:B,1,0)</f>
        <v>708784</v>
      </c>
    </row>
    <row r="42" spans="1:2" hidden="1" x14ac:dyDescent="0.25">
      <c r="A42">
        <v>716863</v>
      </c>
      <c r="B42">
        <f>VLOOKUP(A42,FinalMap!B:B,1,0)</f>
        <v>716863</v>
      </c>
    </row>
    <row r="43" spans="1:2" hidden="1" x14ac:dyDescent="0.25">
      <c r="A43" t="s">
        <v>366</v>
      </c>
      <c r="B43" t="str">
        <f>VLOOKUP(A43,FinalMap!B:B,1,0)</f>
        <v>GFJ9</v>
      </c>
    </row>
    <row r="44" spans="1:2" hidden="1" x14ac:dyDescent="0.25">
      <c r="A44">
        <v>720798</v>
      </c>
      <c r="B44">
        <f>VLOOKUP(A44,FinalMap!B:B,1,0)</f>
        <v>720798</v>
      </c>
    </row>
    <row r="45" spans="1:2" hidden="1" x14ac:dyDescent="0.25">
      <c r="A45">
        <v>714941</v>
      </c>
      <c r="B45">
        <f>VLOOKUP(A45,FinalMap!B:B,1,0)</f>
        <v>714941</v>
      </c>
    </row>
    <row r="46" spans="1:2" x14ac:dyDescent="0.25">
      <c r="A46">
        <v>682588</v>
      </c>
      <c r="B46" t="e">
        <f>VLOOKUP(A46,FinalMap!B:B,1,0)</f>
        <v>#N/A</v>
      </c>
    </row>
    <row r="47" spans="1:2" hidden="1" x14ac:dyDescent="0.25">
      <c r="A47">
        <v>688330</v>
      </c>
      <c r="B47">
        <f>VLOOKUP(A47,FinalMap!B:B,1,0)</f>
        <v>688330</v>
      </c>
    </row>
    <row r="48" spans="1:2" hidden="1" x14ac:dyDescent="0.25">
      <c r="A48">
        <v>718930</v>
      </c>
      <c r="B48">
        <f>VLOOKUP(A48,FinalMap!B:B,1,0)</f>
        <v>718930</v>
      </c>
    </row>
    <row r="49" spans="1:2" hidden="1" x14ac:dyDescent="0.25">
      <c r="A49">
        <v>689206</v>
      </c>
      <c r="B49">
        <f>VLOOKUP(A49,FinalMap!B:B,1,0)</f>
        <v>689206</v>
      </c>
    </row>
    <row r="50" spans="1:2" x14ac:dyDescent="0.25">
      <c r="A50" t="s">
        <v>1014</v>
      </c>
      <c r="B50" t="str">
        <f>VLOOKUP(A50,FinalMap!B:B,1,0)</f>
        <v>GFJ8</v>
      </c>
    </row>
    <row r="51" spans="1:2" hidden="1" x14ac:dyDescent="0.25">
      <c r="A51">
        <v>693779</v>
      </c>
      <c r="B51">
        <f>VLOOKUP(A51,FinalMap!B:B,1,0)</f>
        <v>693779</v>
      </c>
    </row>
    <row r="52" spans="1:2" hidden="1" x14ac:dyDescent="0.25">
      <c r="A52" t="s">
        <v>308</v>
      </c>
      <c r="B52" t="str">
        <f>VLOOKUP(A52,FinalMap!B:B,1,0)</f>
        <v>GFJW</v>
      </c>
    </row>
    <row r="53" spans="1:2" hidden="1" x14ac:dyDescent="0.25">
      <c r="A53">
        <v>689942</v>
      </c>
      <c r="B53">
        <f>VLOOKUP(A53,FinalMap!B:B,1,0)</f>
        <v>689942</v>
      </c>
    </row>
    <row r="54" spans="1:2" hidden="1" x14ac:dyDescent="0.25">
      <c r="A54" t="s">
        <v>165</v>
      </c>
      <c r="B54" t="str">
        <f>VLOOKUP(A54,FinalMap!B:B,1,0)</f>
        <v>LU1057489228</v>
      </c>
    </row>
    <row r="55" spans="1:2" hidden="1" x14ac:dyDescent="0.25">
      <c r="A55" t="s">
        <v>162</v>
      </c>
      <c r="B55" t="str">
        <f>VLOOKUP(A55,FinalMap!B:B,1,0)</f>
        <v>LU1235249262</v>
      </c>
    </row>
    <row r="56" spans="1:2" hidden="1" x14ac:dyDescent="0.25">
      <c r="A56">
        <v>722431</v>
      </c>
      <c r="B56">
        <f>VLOOKUP(A56,FinalMap!B:B,1,0)</f>
        <v>722431</v>
      </c>
    </row>
    <row r="57" spans="1:2" hidden="1" x14ac:dyDescent="0.25">
      <c r="A57">
        <v>716679</v>
      </c>
      <c r="B57">
        <f>VLOOKUP(A57,FinalMap!B:B,1,0)</f>
        <v>716679</v>
      </c>
    </row>
    <row r="58" spans="1:2" hidden="1" x14ac:dyDescent="0.25">
      <c r="A58">
        <v>666297</v>
      </c>
      <c r="B58">
        <f>VLOOKUP(A58,FinalMap!B:B,1,0)</f>
        <v>666297</v>
      </c>
    </row>
    <row r="59" spans="1:2" hidden="1" x14ac:dyDescent="0.25">
      <c r="A59" t="s">
        <v>315</v>
      </c>
      <c r="B59" t="str">
        <f>VLOOKUP(A59,FinalMap!B:B,1,0)</f>
        <v>GFJX</v>
      </c>
    </row>
    <row r="60" spans="1:2" hidden="1" x14ac:dyDescent="0.25">
      <c r="A60">
        <v>713971</v>
      </c>
      <c r="B60">
        <f>VLOOKUP(A60,FinalMap!B:B,1,0)</f>
        <v>713971</v>
      </c>
    </row>
    <row r="61" spans="1:2" hidden="1" x14ac:dyDescent="0.25">
      <c r="A61">
        <v>713421</v>
      </c>
      <c r="B61">
        <f>VLOOKUP(A61,FinalMap!B:B,1,0)</f>
        <v>713421</v>
      </c>
    </row>
    <row r="62" spans="1:2" hidden="1" x14ac:dyDescent="0.25">
      <c r="A62">
        <v>708783</v>
      </c>
      <c r="B62">
        <f>VLOOKUP(A62,FinalMap!B:B,1,0)</f>
        <v>708783</v>
      </c>
    </row>
    <row r="63" spans="1:2" hidden="1" x14ac:dyDescent="0.25">
      <c r="A63">
        <v>716844</v>
      </c>
      <c r="B63">
        <f>VLOOKUP(A63,FinalMap!B:B,1,0)</f>
        <v>716844</v>
      </c>
    </row>
    <row r="64" spans="1:2" x14ac:dyDescent="0.25">
      <c r="A64">
        <v>729236</v>
      </c>
      <c r="B64">
        <f>VLOOKUP(A64,FinalMap!B:B,1,0)</f>
        <v>729236</v>
      </c>
    </row>
    <row r="65" spans="1:2" x14ac:dyDescent="0.25">
      <c r="A65">
        <v>716543</v>
      </c>
      <c r="B65" t="e">
        <f>VLOOKUP(A65,FinalMap!B:B,1,0)</f>
        <v>#N/A</v>
      </c>
    </row>
    <row r="66" spans="1:2" hidden="1" x14ac:dyDescent="0.25">
      <c r="A66">
        <v>706632</v>
      </c>
      <c r="B66">
        <f>VLOOKUP(A66,FinalMap!B:B,1,0)</f>
        <v>706632</v>
      </c>
    </row>
    <row r="67" spans="1:2" hidden="1" x14ac:dyDescent="0.25">
      <c r="A67" t="s">
        <v>192</v>
      </c>
      <c r="B67" t="str">
        <f>VLOOKUP(A67,FinalMap!B:B,1,0)</f>
        <v>LU1493701376</v>
      </c>
    </row>
    <row r="68" spans="1:2" hidden="1" x14ac:dyDescent="0.25">
      <c r="A68">
        <v>684489</v>
      </c>
      <c r="B68">
        <f>VLOOKUP(A68,FinalMap!B:B,1,0)</f>
        <v>684489</v>
      </c>
    </row>
    <row r="69" spans="1:2" hidden="1" x14ac:dyDescent="0.25">
      <c r="A69">
        <v>682590</v>
      </c>
      <c r="B69">
        <f>VLOOKUP(A69,FinalMap!B:B,1,0)</f>
        <v>682590</v>
      </c>
    </row>
    <row r="70" spans="1:2" hidden="1" x14ac:dyDescent="0.25">
      <c r="A70">
        <v>718931</v>
      </c>
      <c r="B70">
        <f>VLOOKUP(A70,FinalMap!B:B,1,0)</f>
        <v>718931</v>
      </c>
    </row>
    <row r="71" spans="1:2" hidden="1" x14ac:dyDescent="0.25">
      <c r="A71">
        <v>716958</v>
      </c>
      <c r="B71">
        <f>VLOOKUP(A71,FinalMap!B:B,1,0)</f>
        <v>716958</v>
      </c>
    </row>
    <row r="72" spans="1:2" hidden="1" x14ac:dyDescent="0.25">
      <c r="A72">
        <v>716406</v>
      </c>
      <c r="B72">
        <f>VLOOKUP(A72,FinalMap!B:B,1,0)</f>
        <v>716406</v>
      </c>
    </row>
    <row r="73" spans="1:2" hidden="1" x14ac:dyDescent="0.25">
      <c r="A73">
        <v>693764</v>
      </c>
      <c r="B73">
        <f>VLOOKUP(A73,FinalMap!B:B,1,0)</f>
        <v>693764</v>
      </c>
    </row>
    <row r="74" spans="1:2" hidden="1" x14ac:dyDescent="0.25">
      <c r="A74">
        <v>700087</v>
      </c>
      <c r="B74">
        <f>VLOOKUP(A74,FinalMap!B:B,1,0)</f>
        <v>700087</v>
      </c>
    </row>
    <row r="75" spans="1:2" hidden="1" x14ac:dyDescent="0.25">
      <c r="A75">
        <v>718929</v>
      </c>
      <c r="B75">
        <f>VLOOKUP(A75,FinalMap!B:B,1,0)</f>
        <v>718929</v>
      </c>
    </row>
    <row r="76" spans="1:2" hidden="1" x14ac:dyDescent="0.25">
      <c r="A76">
        <v>713408</v>
      </c>
      <c r="B76">
        <f>VLOOKUP(A76,FinalMap!B:B,1,0)</f>
        <v>713408</v>
      </c>
    </row>
    <row r="77" spans="1:2" hidden="1" x14ac:dyDescent="0.25">
      <c r="A77">
        <v>700206</v>
      </c>
      <c r="B77">
        <f>VLOOKUP(A77,FinalMap!B:B,1,0)</f>
        <v>700206</v>
      </c>
    </row>
    <row r="78" spans="1:2" hidden="1" x14ac:dyDescent="0.25">
      <c r="A78">
        <v>704620</v>
      </c>
      <c r="B78">
        <f>VLOOKUP(A78,FinalMap!B:B,1,0)</f>
        <v>704620</v>
      </c>
    </row>
    <row r="79" spans="1:2" hidden="1" x14ac:dyDescent="0.25">
      <c r="A79">
        <v>645766</v>
      </c>
      <c r="B79">
        <f>VLOOKUP(A79,FinalMap!B:B,1,0)</f>
        <v>645766</v>
      </c>
    </row>
    <row r="80" spans="1:2" hidden="1" x14ac:dyDescent="0.25">
      <c r="A80">
        <v>596994</v>
      </c>
      <c r="B80">
        <f>VLOOKUP(A80,FinalMap!B:B,1,0)</f>
        <v>596994</v>
      </c>
    </row>
    <row r="81" spans="1:2" hidden="1" x14ac:dyDescent="0.25">
      <c r="A81">
        <v>691178</v>
      </c>
      <c r="B81">
        <f>VLOOKUP(A81,FinalMap!B:B,1,0)</f>
        <v>691178</v>
      </c>
    </row>
    <row r="82" spans="1:2" hidden="1" x14ac:dyDescent="0.25">
      <c r="A82">
        <v>691179</v>
      </c>
      <c r="B82">
        <f>VLOOKUP(A82,FinalMap!B:B,1,0)</f>
        <v>691179</v>
      </c>
    </row>
    <row r="83" spans="1:2" hidden="1" x14ac:dyDescent="0.25">
      <c r="A83">
        <v>707683</v>
      </c>
      <c r="B83">
        <f>VLOOKUP(A83,FinalMap!B:B,1,0)</f>
        <v>707683</v>
      </c>
    </row>
    <row r="84" spans="1:2" hidden="1" x14ac:dyDescent="0.25">
      <c r="A84">
        <v>691180</v>
      </c>
      <c r="B84">
        <f>VLOOKUP(A84,FinalMap!B:B,1,0)</f>
        <v>691180</v>
      </c>
    </row>
    <row r="85" spans="1:2" hidden="1" x14ac:dyDescent="0.25">
      <c r="A85">
        <v>707636</v>
      </c>
      <c r="B85">
        <f>VLOOKUP(A85,FinalMap!B:B,1,0)</f>
        <v>707636</v>
      </c>
    </row>
    <row r="86" spans="1:2" hidden="1" x14ac:dyDescent="0.25">
      <c r="A86">
        <v>596998</v>
      </c>
      <c r="B86">
        <f>VLOOKUP(A86,FinalMap!B:B,1,0)</f>
        <v>596998</v>
      </c>
    </row>
    <row r="87" spans="1:2" hidden="1" x14ac:dyDescent="0.25">
      <c r="A87">
        <v>724730</v>
      </c>
      <c r="B87">
        <f>VLOOKUP(A87,FinalMap!B:B,1,0)</f>
        <v>724730</v>
      </c>
    </row>
    <row r="88" spans="1:2" hidden="1" x14ac:dyDescent="0.25">
      <c r="A88" t="s">
        <v>16</v>
      </c>
      <c r="B88" t="str">
        <f>VLOOKUP(A88,FinalMap!B:B,1,0)</f>
        <v>LU2444715366</v>
      </c>
    </row>
    <row r="89" spans="1:2" hidden="1" x14ac:dyDescent="0.25">
      <c r="A89" t="s">
        <v>32</v>
      </c>
      <c r="B89" t="str">
        <f>VLOOKUP(A89,FinalMap!B:B,1,0)</f>
        <v>LU0840615578</v>
      </c>
    </row>
    <row r="90" spans="1:2" x14ac:dyDescent="0.25">
      <c r="A90" t="s">
        <v>402</v>
      </c>
      <c r="B90" t="e">
        <f>VLOOKUP(A90,FinalMap!B:B,1,0)</f>
        <v>#N/A</v>
      </c>
    </row>
    <row r="91" spans="1:2" hidden="1" x14ac:dyDescent="0.25">
      <c r="A91" t="s">
        <v>36</v>
      </c>
      <c r="B91" t="str">
        <f>VLOOKUP(A91,FinalMap!B:B,1,0)</f>
        <v>LU1870374508</v>
      </c>
    </row>
    <row r="92" spans="1:2" hidden="1" x14ac:dyDescent="0.25">
      <c r="A92" t="s">
        <v>52</v>
      </c>
      <c r="B92" t="str">
        <f>VLOOKUP(A92,FinalMap!B:B,1,0)</f>
        <v>IE00B615T757</v>
      </c>
    </row>
    <row r="93" spans="1:2" hidden="1" x14ac:dyDescent="0.25">
      <c r="A93" t="s">
        <v>56</v>
      </c>
      <c r="B93" t="str">
        <f>VLOOKUP(A93,FinalMap!B:B,1,0)</f>
        <v>IE00B4M6YD48</v>
      </c>
    </row>
    <row r="94" spans="1:2" hidden="1" x14ac:dyDescent="0.25">
      <c r="A94" t="s">
        <v>60</v>
      </c>
      <c r="B94" t="str">
        <f>VLOOKUP(A94,FinalMap!B:B,1,0)</f>
        <v>IE00BKTZQN06</v>
      </c>
    </row>
    <row r="95" spans="1:2" hidden="1" x14ac:dyDescent="0.25">
      <c r="A95" t="s">
        <v>71</v>
      </c>
      <c r="B95" t="str">
        <f>VLOOKUP(A95,FinalMap!B:B,1,0)</f>
        <v>LU2200556392</v>
      </c>
    </row>
    <row r="96" spans="1:2" hidden="1" x14ac:dyDescent="0.25">
      <c r="A96" t="s">
        <v>75</v>
      </c>
      <c r="B96" t="str">
        <f>VLOOKUP(A96,FinalMap!B:B,1,0)</f>
        <v>LU2041044764</v>
      </c>
    </row>
    <row r="97" spans="1:2" hidden="1" x14ac:dyDescent="0.25">
      <c r="A97" t="s">
        <v>78</v>
      </c>
      <c r="B97" t="str">
        <f>VLOOKUP(A97,FinalMap!B:B,1,0)</f>
        <v>LU1505937943</v>
      </c>
    </row>
    <row r="98" spans="1:2" hidden="1" x14ac:dyDescent="0.25">
      <c r="A98" t="s">
        <v>90</v>
      </c>
      <c r="B98" t="str">
        <f>VLOOKUP(A98,FinalMap!B:B,1,0)</f>
        <v>LU1616921232</v>
      </c>
    </row>
    <row r="99" spans="1:2" hidden="1" x14ac:dyDescent="0.25">
      <c r="A99" t="s">
        <v>98</v>
      </c>
      <c r="B99" t="str">
        <f>VLOOKUP(A99,FinalMap!B:B,1,0)</f>
        <v>LU1920210579</v>
      </c>
    </row>
    <row r="100" spans="1:2" hidden="1" x14ac:dyDescent="0.25">
      <c r="A100" t="s">
        <v>101</v>
      </c>
      <c r="B100" t="str">
        <f>VLOOKUP(A100,FinalMap!B:B,1,0)</f>
        <v>LU1920216006</v>
      </c>
    </row>
    <row r="101" spans="1:2" hidden="1" x14ac:dyDescent="0.25">
      <c r="A101" t="s">
        <v>106</v>
      </c>
      <c r="B101" t="str">
        <f>VLOOKUP(A101,FinalMap!B:B,1,0)</f>
        <v>LU1965304444</v>
      </c>
    </row>
    <row r="102" spans="1:2" hidden="1" x14ac:dyDescent="0.25">
      <c r="A102" t="s">
        <v>109</v>
      </c>
      <c r="B102" t="str">
        <f>VLOOKUP(A102,FinalMap!B:B,1,0)</f>
        <v>LU1968468162</v>
      </c>
    </row>
    <row r="103" spans="1:2" x14ac:dyDescent="0.25">
      <c r="A103" t="s">
        <v>503</v>
      </c>
      <c r="B103" t="e">
        <f>VLOOKUP(A103,FinalMap!B:B,1,0)</f>
        <v>#N/A</v>
      </c>
    </row>
    <row r="104" spans="1:2" x14ac:dyDescent="0.25">
      <c r="A104" t="s">
        <v>586</v>
      </c>
      <c r="B104" t="e">
        <f>VLOOKUP(A104,FinalMap!B:B,1,0)</f>
        <v>#N/A</v>
      </c>
    </row>
    <row r="105" spans="1:2" hidden="1" x14ac:dyDescent="0.25">
      <c r="A105" t="s">
        <v>118</v>
      </c>
      <c r="B105" t="str">
        <f>VLOOKUP(A105,FinalMap!B:B,1,0)</f>
        <v>IE00BFY85J84</v>
      </c>
    </row>
    <row r="106" spans="1:2" hidden="1" x14ac:dyDescent="0.25">
      <c r="A106" t="s">
        <v>124</v>
      </c>
      <c r="B106" t="str">
        <f>VLOOKUP(A106,FinalMap!B:B,1,0)</f>
        <v>LU0626261944</v>
      </c>
    </row>
    <row r="107" spans="1:2" hidden="1" x14ac:dyDescent="0.25">
      <c r="A107" t="s">
        <v>136</v>
      </c>
      <c r="B107" t="str">
        <f>VLOOKUP(A107,FinalMap!B:B,1,0)</f>
        <v>IE00B3DJ5M15</v>
      </c>
    </row>
    <row r="108" spans="1:2" x14ac:dyDescent="0.25">
      <c r="A108" t="s">
        <v>653</v>
      </c>
      <c r="B108" t="e">
        <f>VLOOKUP(A108,FinalMap!B:B,1,0)</f>
        <v>#N/A</v>
      </c>
    </row>
    <row r="109" spans="1:2" hidden="1" x14ac:dyDescent="0.25">
      <c r="A109" t="s">
        <v>157</v>
      </c>
      <c r="B109" t="str">
        <f>VLOOKUP(A109,FinalMap!B:B,1,0)</f>
        <v>LU0869500495</v>
      </c>
    </row>
    <row r="110" spans="1:2" hidden="1" x14ac:dyDescent="0.25">
      <c r="A110" t="s">
        <v>172</v>
      </c>
      <c r="B110" t="str">
        <f>VLOOKUP(A110,FinalMap!B:B,1,0)</f>
        <v>FR0000974149</v>
      </c>
    </row>
    <row r="111" spans="1:2" hidden="1" x14ac:dyDescent="0.25">
      <c r="A111" t="s">
        <v>200</v>
      </c>
      <c r="B111" t="str">
        <f>VLOOKUP(A111,FinalMap!B:B,1,0)</f>
        <v>LU1802245560</v>
      </c>
    </row>
    <row r="112" spans="1:2" hidden="1" x14ac:dyDescent="0.25">
      <c r="A112" t="s">
        <v>206</v>
      </c>
      <c r="B112" t="str">
        <f>VLOOKUP(A112,FinalMap!B:B,1,0)</f>
        <v>IE00BF21WN20</v>
      </c>
    </row>
    <row r="113" spans="1:2" x14ac:dyDescent="0.25">
      <c r="A113" t="s">
        <v>650</v>
      </c>
      <c r="B113" t="e">
        <f>VLOOKUP(A113,FinalMap!B:B,1,0)</f>
        <v>#N/A</v>
      </c>
    </row>
    <row r="114" spans="1:2" hidden="1" x14ac:dyDescent="0.25">
      <c r="A114" t="s">
        <v>229</v>
      </c>
      <c r="B114" t="str">
        <f>VLOOKUP(A114,FinalMap!B:B,1,0)</f>
        <v>IE00BNHQBY28</v>
      </c>
    </row>
    <row r="115" spans="1:2" hidden="1" x14ac:dyDescent="0.25">
      <c r="A115" t="s">
        <v>248</v>
      </c>
      <c r="B115" t="str">
        <f>VLOOKUP(A115,FinalMap!B:B,1,0)</f>
        <v>IE0007LWGYY1</v>
      </c>
    </row>
    <row r="116" spans="1:2" hidden="1" x14ac:dyDescent="0.25">
      <c r="A116" t="s">
        <v>256</v>
      </c>
      <c r="B116" t="str">
        <f>VLOOKUP(A116,FinalMap!B:B,1,0)</f>
        <v>IE00BM99WQ17</v>
      </c>
    </row>
    <row r="117" spans="1:2" hidden="1" x14ac:dyDescent="0.25">
      <c r="A117" t="s">
        <v>264</v>
      </c>
      <c r="B117" t="str">
        <f>VLOOKUP(A117,FinalMap!B:B,1,0)</f>
        <v>LU0549545142</v>
      </c>
    </row>
    <row r="118" spans="1:2" hidden="1" x14ac:dyDescent="0.25">
      <c r="A118" t="s">
        <v>281</v>
      </c>
      <c r="B118" t="str">
        <f>VLOOKUP(A118,FinalMap!B:B,1,0)</f>
        <v>LU0399027886</v>
      </c>
    </row>
    <row r="119" spans="1:2" hidden="1" x14ac:dyDescent="0.25">
      <c r="A119" t="s">
        <v>286</v>
      </c>
      <c r="B119" t="str">
        <f>VLOOKUP(A119,FinalMap!B:B,1,0)</f>
        <v>LU1727358514</v>
      </c>
    </row>
    <row r="120" spans="1:2" hidden="1" x14ac:dyDescent="0.25">
      <c r="A120" t="s">
        <v>291</v>
      </c>
      <c r="B120" t="str">
        <f>VLOOKUP(A120,FinalMap!B:B,1,0)</f>
        <v>LU0853555893</v>
      </c>
    </row>
    <row r="121" spans="1:2" hidden="1" x14ac:dyDescent="0.25">
      <c r="A121" t="s">
        <v>322</v>
      </c>
      <c r="B121" t="str">
        <f>VLOOKUP(A121,FinalMap!B:B,1,0)</f>
        <v>FR0013429446</v>
      </c>
    </row>
    <row r="122" spans="1:2" hidden="1" x14ac:dyDescent="0.25">
      <c r="A122" t="s">
        <v>326</v>
      </c>
      <c r="B122" t="str">
        <f>VLOOKUP(A122,FinalMap!B:B,1,0)</f>
        <v>IE00BMWVYP76</v>
      </c>
    </row>
    <row r="123" spans="1:2" hidden="1" x14ac:dyDescent="0.25">
      <c r="A123" t="s">
        <v>333</v>
      </c>
      <c r="B123" t="str">
        <f>VLOOKUP(A123,FinalMap!B:B,1,0)</f>
        <v>IE00027GCDQ6</v>
      </c>
    </row>
    <row r="124" spans="1:2" x14ac:dyDescent="0.25">
      <c r="A124" t="s">
        <v>408</v>
      </c>
      <c r="B124" t="e">
        <f>VLOOKUP(A124,FinalMap!B:B,1,0)</f>
        <v>#N/A</v>
      </c>
    </row>
    <row r="125" spans="1:2" x14ac:dyDescent="0.25">
      <c r="A125" t="s">
        <v>670</v>
      </c>
      <c r="B125" t="e">
        <f>VLOOKUP(A125,FinalMap!B:B,1,0)</f>
        <v>#N/A</v>
      </c>
    </row>
    <row r="126" spans="1:2" hidden="1" x14ac:dyDescent="0.25">
      <c r="A126" t="s">
        <v>340</v>
      </c>
      <c r="B126" t="str">
        <f>VLOOKUP(A126,FinalMap!B:B,1,0)</f>
        <v>IE00BZCG7W10</v>
      </c>
    </row>
    <row r="127" spans="1:2" x14ac:dyDescent="0.25">
      <c r="A127" t="s">
        <v>549</v>
      </c>
      <c r="B127" t="e">
        <f>VLOOKUP(A127,FinalMap!B:B,1,0)</f>
        <v>#N/A</v>
      </c>
    </row>
    <row r="128" spans="1:2" x14ac:dyDescent="0.25">
      <c r="A128" t="s">
        <v>724</v>
      </c>
      <c r="B128" t="e">
        <f>VLOOKUP(A128,FinalMap!B:B,1,0)</f>
        <v>#N/A</v>
      </c>
    </row>
    <row r="129" spans="1:2" hidden="1" x14ac:dyDescent="0.25">
      <c r="A129" t="s">
        <v>298</v>
      </c>
      <c r="B129" t="str">
        <f>VLOOKUP(A129,FinalMap!B:B,1,0)</f>
        <v>LU0629658435</v>
      </c>
    </row>
    <row r="130" spans="1:2" hidden="1" x14ac:dyDescent="0.25">
      <c r="A130" t="s">
        <v>329</v>
      </c>
      <c r="B130" t="str">
        <f>VLOOKUP(A130,FinalMap!B:B,1,0)</f>
        <v>LU0396332214</v>
      </c>
    </row>
  </sheetData>
  <autoFilter ref="A1:B130" xr:uid="{8E195EFD-6B18-4A1E-9B08-A55D8CCC3A67}">
    <filterColumn colId="1">
      <filters>
        <filter val="#N/A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847F-0845-40FB-8321-392929CDC6A1}">
  <sheetPr>
    <tabColor theme="9" tint="0.39997558519241921"/>
  </sheetPr>
  <dimension ref="A1:P163"/>
  <sheetViews>
    <sheetView topLeftCell="D91" workbookViewId="0">
      <selection activeCell="J135" sqref="J135"/>
    </sheetView>
  </sheetViews>
  <sheetFormatPr defaultRowHeight="15" x14ac:dyDescent="0.25"/>
  <cols>
    <col min="1" max="1" width="14.42578125" bestFit="1" customWidth="1"/>
    <col min="2" max="2" width="14.85546875" style="1" bestFit="1" customWidth="1"/>
    <col min="3" max="3" width="9.7109375" bestFit="1" customWidth="1"/>
    <col min="4" max="4" width="76.28515625" customWidth="1"/>
    <col min="5" max="5" width="25.7109375" customWidth="1"/>
    <col min="6" max="6" width="12" customWidth="1"/>
    <col min="7" max="7" width="14.85546875" bestFit="1" customWidth="1"/>
    <col min="8" max="8" width="10.5703125" bestFit="1" customWidth="1"/>
    <col min="9" max="9" width="15.7109375" bestFit="1" customWidth="1"/>
    <col min="10" max="10" width="22" bestFit="1" customWidth="1"/>
    <col min="11" max="11" width="15.7109375" bestFit="1" customWidth="1"/>
    <col min="14" max="14" width="51.5703125" bestFit="1" customWidth="1"/>
  </cols>
  <sheetData>
    <row r="1" spans="1:16" s="13" customFormat="1" x14ac:dyDescent="0.25">
      <c r="A1" s="13" t="s">
        <v>1077</v>
      </c>
      <c r="B1" s="14" t="s">
        <v>1</v>
      </c>
      <c r="C1" s="13" t="s">
        <v>1078</v>
      </c>
      <c r="D1" s="13" t="s">
        <v>1079</v>
      </c>
      <c r="E1" t="s">
        <v>3</v>
      </c>
      <c r="F1" t="s">
        <v>865</v>
      </c>
      <c r="G1" s="13" t="s">
        <v>1080</v>
      </c>
      <c r="H1" s="13" t="s">
        <v>1081</v>
      </c>
      <c r="I1" s="13" t="s">
        <v>1082</v>
      </c>
      <c r="J1" s="13" t="s">
        <v>1083</v>
      </c>
      <c r="K1" s="13" t="s">
        <v>1084</v>
      </c>
      <c r="L1" s="13" t="s">
        <v>14</v>
      </c>
      <c r="M1" s="12" t="s">
        <v>1085</v>
      </c>
      <c r="N1" s="13" t="s">
        <v>1084</v>
      </c>
    </row>
    <row r="2" spans="1:16" x14ac:dyDescent="0.25">
      <c r="A2" s="2">
        <v>1</v>
      </c>
      <c r="B2" s="1">
        <v>596990</v>
      </c>
      <c r="C2">
        <v>85</v>
      </c>
      <c r="D2" t="s">
        <v>1086</v>
      </c>
      <c r="E2" t="s">
        <v>85</v>
      </c>
      <c r="F2" t="s">
        <v>24</v>
      </c>
      <c r="K2" t="s">
        <v>1087</v>
      </c>
      <c r="L2" t="s">
        <v>1087</v>
      </c>
      <c r="M2" t="s">
        <v>1087</v>
      </c>
      <c r="N2" t="s">
        <v>1087</v>
      </c>
      <c r="P2" t="str">
        <f t="shared" ref="P2:P33" si="0">IF(K2&lt;&gt;"",N2=D2,"")</f>
        <v/>
      </c>
    </row>
    <row r="3" spans="1:16" x14ac:dyDescent="0.25">
      <c r="A3" s="2">
        <v>1</v>
      </c>
      <c r="B3" s="1">
        <v>596990</v>
      </c>
      <c r="C3">
        <v>15</v>
      </c>
      <c r="D3" t="s">
        <v>1088</v>
      </c>
      <c r="E3" t="s">
        <v>85</v>
      </c>
      <c r="F3" t="s">
        <v>24</v>
      </c>
      <c r="K3" t="s">
        <v>1087</v>
      </c>
      <c r="L3" t="s">
        <v>1087</v>
      </c>
      <c r="M3" t="s">
        <v>1087</v>
      </c>
      <c r="N3" t="s">
        <v>1087</v>
      </c>
      <c r="P3" t="str">
        <f t="shared" si="0"/>
        <v/>
      </c>
    </row>
    <row r="4" spans="1:16" x14ac:dyDescent="0.25">
      <c r="A4" s="2">
        <v>1</v>
      </c>
      <c r="B4" s="1">
        <v>596994</v>
      </c>
      <c r="C4">
        <v>80</v>
      </c>
      <c r="D4" t="s">
        <v>1089</v>
      </c>
      <c r="E4" t="s">
        <v>226</v>
      </c>
      <c r="F4" t="s">
        <v>24</v>
      </c>
      <c r="K4" t="s">
        <v>1087</v>
      </c>
      <c r="L4" t="s">
        <v>1087</v>
      </c>
      <c r="M4" t="s">
        <v>1087</v>
      </c>
      <c r="N4" t="s">
        <v>1087</v>
      </c>
      <c r="P4" t="str">
        <f t="shared" si="0"/>
        <v/>
      </c>
    </row>
    <row r="5" spans="1:16" x14ac:dyDescent="0.25">
      <c r="A5" s="2">
        <v>1</v>
      </c>
      <c r="B5" s="1">
        <v>596994</v>
      </c>
      <c r="C5">
        <v>20</v>
      </c>
      <c r="D5" t="s">
        <v>1090</v>
      </c>
      <c r="E5" t="s">
        <v>226</v>
      </c>
      <c r="F5" t="s">
        <v>24</v>
      </c>
      <c r="K5" t="s">
        <v>1087</v>
      </c>
      <c r="L5" t="s">
        <v>1087</v>
      </c>
      <c r="M5" t="s">
        <v>1087</v>
      </c>
      <c r="N5" t="s">
        <v>1087</v>
      </c>
      <c r="P5" t="str">
        <f t="shared" si="0"/>
        <v/>
      </c>
    </row>
    <row r="6" spans="1:16" x14ac:dyDescent="0.25">
      <c r="A6" s="2">
        <v>1</v>
      </c>
      <c r="B6" s="1">
        <v>596998</v>
      </c>
      <c r="C6">
        <v>100</v>
      </c>
      <c r="D6" t="s">
        <v>44</v>
      </c>
      <c r="E6" t="s">
        <v>243</v>
      </c>
      <c r="F6" t="s">
        <v>24</v>
      </c>
      <c r="K6" t="s">
        <v>1087</v>
      </c>
      <c r="L6" t="s">
        <v>1087</v>
      </c>
      <c r="M6" t="s">
        <v>1087</v>
      </c>
      <c r="N6" t="s">
        <v>1087</v>
      </c>
      <c r="P6" t="str">
        <f t="shared" si="0"/>
        <v/>
      </c>
    </row>
    <row r="7" spans="1:16" x14ac:dyDescent="0.25">
      <c r="A7" s="2">
        <v>1</v>
      </c>
      <c r="B7" s="1">
        <v>597009</v>
      </c>
      <c r="C7">
        <v>100</v>
      </c>
      <c r="D7" t="s">
        <v>50</v>
      </c>
      <c r="E7" t="s">
        <v>49</v>
      </c>
      <c r="F7" t="s">
        <v>24</v>
      </c>
      <c r="K7" t="s">
        <v>1087</v>
      </c>
      <c r="L7" t="s">
        <v>1087</v>
      </c>
      <c r="M7" t="s">
        <v>1087</v>
      </c>
      <c r="N7" t="s">
        <v>1087</v>
      </c>
      <c r="P7" t="str">
        <f t="shared" si="0"/>
        <v/>
      </c>
    </row>
    <row r="8" spans="1:16" x14ac:dyDescent="0.25">
      <c r="A8" s="2">
        <v>1</v>
      </c>
      <c r="B8" s="1">
        <v>597012</v>
      </c>
      <c r="C8">
        <v>100</v>
      </c>
      <c r="D8" t="s">
        <v>47</v>
      </c>
      <c r="E8" t="s">
        <v>46</v>
      </c>
      <c r="F8" t="s">
        <v>24</v>
      </c>
      <c r="K8" t="s">
        <v>1087</v>
      </c>
      <c r="L8" t="s">
        <v>1087</v>
      </c>
      <c r="M8" t="s">
        <v>1087</v>
      </c>
      <c r="N8" t="s">
        <v>1087</v>
      </c>
      <c r="P8" t="str">
        <f t="shared" si="0"/>
        <v/>
      </c>
    </row>
    <row r="9" spans="1:16" x14ac:dyDescent="0.25">
      <c r="A9" s="2">
        <v>1</v>
      </c>
      <c r="B9" s="1">
        <v>597016</v>
      </c>
      <c r="C9">
        <v>100</v>
      </c>
      <c r="D9" t="s">
        <v>41</v>
      </c>
      <c r="E9" t="s">
        <v>40</v>
      </c>
      <c r="F9" t="s">
        <v>24</v>
      </c>
      <c r="K9" t="s">
        <v>1087</v>
      </c>
      <c r="L9" t="s">
        <v>1087</v>
      </c>
      <c r="M9" t="s">
        <v>1087</v>
      </c>
      <c r="N9" t="s">
        <v>1087</v>
      </c>
      <c r="P9" t="str">
        <f t="shared" si="0"/>
        <v/>
      </c>
    </row>
    <row r="10" spans="1:16" x14ac:dyDescent="0.25">
      <c r="A10" s="2">
        <v>1</v>
      </c>
      <c r="B10" s="1">
        <v>642651</v>
      </c>
      <c r="C10">
        <v>100</v>
      </c>
      <c r="D10" t="s">
        <v>83</v>
      </c>
      <c r="E10" t="s">
        <v>82</v>
      </c>
      <c r="F10" t="s">
        <v>24</v>
      </c>
      <c r="K10" t="s">
        <v>1087</v>
      </c>
      <c r="L10" t="s">
        <v>1087</v>
      </c>
      <c r="M10" t="s">
        <v>1087</v>
      </c>
      <c r="N10" t="s">
        <v>1087</v>
      </c>
      <c r="P10" t="str">
        <f t="shared" si="0"/>
        <v/>
      </c>
    </row>
    <row r="11" spans="1:16" x14ac:dyDescent="0.25">
      <c r="A11" s="2">
        <v>1</v>
      </c>
      <c r="B11" s="1">
        <v>645766</v>
      </c>
      <c r="C11">
        <v>100</v>
      </c>
      <c r="D11" t="s">
        <v>1091</v>
      </c>
      <c r="E11" t="s">
        <v>223</v>
      </c>
      <c r="F11" t="s">
        <v>24</v>
      </c>
      <c r="K11" t="s">
        <v>1087</v>
      </c>
      <c r="L11" t="s">
        <v>1087</v>
      </c>
      <c r="M11" t="s">
        <v>1087</v>
      </c>
      <c r="N11" t="s">
        <v>1087</v>
      </c>
      <c r="P11" t="str">
        <f t="shared" si="0"/>
        <v/>
      </c>
    </row>
    <row r="12" spans="1:16" x14ac:dyDescent="0.25">
      <c r="A12" s="2">
        <v>1</v>
      </c>
      <c r="B12" s="1">
        <v>657375</v>
      </c>
      <c r="C12">
        <v>15</v>
      </c>
      <c r="D12" t="s">
        <v>1092</v>
      </c>
      <c r="E12" t="s">
        <v>253</v>
      </c>
      <c r="F12" t="s">
        <v>24</v>
      </c>
      <c r="K12" t="s">
        <v>1087</v>
      </c>
      <c r="L12" t="s">
        <v>1087</v>
      </c>
      <c r="M12" t="s">
        <v>1087</v>
      </c>
      <c r="N12" t="s">
        <v>1087</v>
      </c>
      <c r="P12" t="str">
        <f t="shared" si="0"/>
        <v/>
      </c>
    </row>
    <row r="13" spans="1:16" x14ac:dyDescent="0.25">
      <c r="A13" s="2">
        <v>1</v>
      </c>
      <c r="B13" s="1">
        <v>657375</v>
      </c>
      <c r="C13">
        <v>25</v>
      </c>
      <c r="D13" t="s">
        <v>1093</v>
      </c>
      <c r="E13" t="s">
        <v>253</v>
      </c>
      <c r="F13" t="s">
        <v>24</v>
      </c>
      <c r="K13" t="s">
        <v>1087</v>
      </c>
      <c r="L13" t="s">
        <v>1087</v>
      </c>
      <c r="M13" t="s">
        <v>1087</v>
      </c>
      <c r="N13" t="s">
        <v>1087</v>
      </c>
      <c r="P13" t="str">
        <f t="shared" si="0"/>
        <v/>
      </c>
    </row>
    <row r="14" spans="1:16" x14ac:dyDescent="0.25">
      <c r="A14" s="2">
        <v>1</v>
      </c>
      <c r="B14" s="1">
        <v>657375</v>
      </c>
      <c r="C14">
        <v>60</v>
      </c>
      <c r="D14" t="s">
        <v>1094</v>
      </c>
      <c r="E14" t="s">
        <v>253</v>
      </c>
      <c r="F14" t="s">
        <v>24</v>
      </c>
      <c r="K14" t="s">
        <v>1087</v>
      </c>
      <c r="L14" t="s">
        <v>1087</v>
      </c>
      <c r="M14" t="s">
        <v>1087</v>
      </c>
      <c r="N14" t="s">
        <v>1087</v>
      </c>
      <c r="P14" t="str">
        <f t="shared" si="0"/>
        <v/>
      </c>
    </row>
    <row r="15" spans="1:16" x14ac:dyDescent="0.25">
      <c r="A15" s="2">
        <v>1</v>
      </c>
      <c r="B15" s="1">
        <v>666297</v>
      </c>
      <c r="C15">
        <v>100</v>
      </c>
      <c r="D15" t="s">
        <v>313</v>
      </c>
      <c r="E15" t="s">
        <v>312</v>
      </c>
      <c r="F15" t="s">
        <v>24</v>
      </c>
      <c r="K15" t="s">
        <v>1087</v>
      </c>
      <c r="L15" t="s">
        <v>1087</v>
      </c>
      <c r="M15" t="s">
        <v>1087</v>
      </c>
      <c r="N15" t="s">
        <v>1087</v>
      </c>
      <c r="P15" t="str">
        <f t="shared" si="0"/>
        <v/>
      </c>
    </row>
    <row r="16" spans="1:16" x14ac:dyDescent="0.25">
      <c r="A16" s="2">
        <v>1</v>
      </c>
      <c r="B16" s="1">
        <v>681724</v>
      </c>
      <c r="C16">
        <v>100</v>
      </c>
      <c r="D16" t="s">
        <v>279</v>
      </c>
      <c r="E16" t="s">
        <v>278</v>
      </c>
      <c r="F16" t="s">
        <v>24</v>
      </c>
      <c r="K16" t="s">
        <v>1087</v>
      </c>
      <c r="L16" t="s">
        <v>1087</v>
      </c>
      <c r="M16" t="s">
        <v>1087</v>
      </c>
      <c r="N16" t="s">
        <v>1087</v>
      </c>
      <c r="P16" t="str">
        <f t="shared" si="0"/>
        <v/>
      </c>
    </row>
    <row r="17" spans="1:16" x14ac:dyDescent="0.25">
      <c r="A17" s="2">
        <v>1</v>
      </c>
      <c r="B17" s="1">
        <v>682590</v>
      </c>
      <c r="C17">
        <v>100</v>
      </c>
      <c r="D17" t="s">
        <v>44</v>
      </c>
      <c r="E17" t="s">
        <v>198</v>
      </c>
      <c r="F17" t="s">
        <v>24</v>
      </c>
      <c r="K17" t="s">
        <v>1087</v>
      </c>
      <c r="L17" t="s">
        <v>1087</v>
      </c>
      <c r="M17" t="s">
        <v>1087</v>
      </c>
      <c r="N17" t="s">
        <v>1087</v>
      </c>
      <c r="P17" t="str">
        <f t="shared" si="0"/>
        <v/>
      </c>
    </row>
    <row r="18" spans="1:16" x14ac:dyDescent="0.25">
      <c r="A18" s="2">
        <v>1</v>
      </c>
      <c r="B18" s="1">
        <v>682592</v>
      </c>
      <c r="C18">
        <v>100</v>
      </c>
      <c r="D18" t="s">
        <v>50</v>
      </c>
      <c r="E18" t="s">
        <v>147</v>
      </c>
      <c r="F18" t="s">
        <v>24</v>
      </c>
      <c r="K18" t="s">
        <v>1087</v>
      </c>
      <c r="L18" t="s">
        <v>1087</v>
      </c>
      <c r="M18" t="s">
        <v>1087</v>
      </c>
      <c r="N18" t="s">
        <v>1087</v>
      </c>
      <c r="P18" t="str">
        <f t="shared" si="0"/>
        <v/>
      </c>
    </row>
    <row r="19" spans="1:16" x14ac:dyDescent="0.25">
      <c r="A19" s="2">
        <v>1</v>
      </c>
      <c r="B19" s="1">
        <v>682593</v>
      </c>
      <c r="C19">
        <v>100</v>
      </c>
      <c r="D19" t="s">
        <v>145</v>
      </c>
      <c r="E19" t="s">
        <v>144</v>
      </c>
      <c r="F19" t="s">
        <v>24</v>
      </c>
      <c r="K19" t="s">
        <v>1087</v>
      </c>
      <c r="L19" t="s">
        <v>1087</v>
      </c>
      <c r="M19" t="s">
        <v>1087</v>
      </c>
      <c r="N19" t="s">
        <v>1087</v>
      </c>
      <c r="P19" t="str">
        <f t="shared" si="0"/>
        <v/>
      </c>
    </row>
    <row r="20" spans="1:16" x14ac:dyDescent="0.25">
      <c r="A20" s="2">
        <v>1</v>
      </c>
      <c r="B20" s="1">
        <v>684489</v>
      </c>
      <c r="C20">
        <v>100</v>
      </c>
      <c r="D20" t="s">
        <v>41</v>
      </c>
      <c r="E20" t="s">
        <v>196</v>
      </c>
      <c r="F20" t="s">
        <v>24</v>
      </c>
      <c r="K20" t="s">
        <v>1087</v>
      </c>
      <c r="L20" t="s">
        <v>1087</v>
      </c>
      <c r="M20" t="s">
        <v>1087</v>
      </c>
      <c r="N20" t="s">
        <v>1087</v>
      </c>
      <c r="P20" t="str">
        <f t="shared" si="0"/>
        <v/>
      </c>
    </row>
    <row r="21" spans="1:16" x14ac:dyDescent="0.25">
      <c r="A21" s="2">
        <v>1</v>
      </c>
      <c r="B21" s="1">
        <v>686585</v>
      </c>
      <c r="C21">
        <v>100</v>
      </c>
      <c r="D21" t="s">
        <v>44</v>
      </c>
      <c r="E21" t="s">
        <v>43</v>
      </c>
      <c r="F21" t="s">
        <v>24</v>
      </c>
      <c r="K21" t="s">
        <v>1087</v>
      </c>
      <c r="L21" t="s">
        <v>1087</v>
      </c>
      <c r="M21" t="s">
        <v>1087</v>
      </c>
      <c r="N21" t="s">
        <v>1087</v>
      </c>
      <c r="P21" t="str">
        <f t="shared" si="0"/>
        <v/>
      </c>
    </row>
    <row r="22" spans="1:16" x14ac:dyDescent="0.25">
      <c r="A22" s="2">
        <v>1</v>
      </c>
      <c r="B22" s="1">
        <v>688330</v>
      </c>
      <c r="C22">
        <v>100</v>
      </c>
      <c r="D22" t="s">
        <v>338</v>
      </c>
      <c r="E22" t="s">
        <v>337</v>
      </c>
      <c r="F22" t="s">
        <v>24</v>
      </c>
      <c r="K22" t="s">
        <v>1087</v>
      </c>
      <c r="L22" t="s">
        <v>1087</v>
      </c>
      <c r="M22" t="s">
        <v>1087</v>
      </c>
      <c r="N22" t="s">
        <v>1087</v>
      </c>
      <c r="P22" t="str">
        <f t="shared" si="0"/>
        <v/>
      </c>
    </row>
    <row r="23" spans="1:16" x14ac:dyDescent="0.25">
      <c r="A23" s="2">
        <v>1</v>
      </c>
      <c r="B23" s="1">
        <v>689206</v>
      </c>
      <c r="C23">
        <v>100</v>
      </c>
      <c r="D23" t="s">
        <v>296</v>
      </c>
      <c r="E23" t="s">
        <v>295</v>
      </c>
      <c r="F23" t="s">
        <v>24</v>
      </c>
      <c r="K23" t="s">
        <v>1087</v>
      </c>
      <c r="L23" t="s">
        <v>1087</v>
      </c>
      <c r="M23" t="s">
        <v>1087</v>
      </c>
      <c r="N23" t="s">
        <v>1087</v>
      </c>
      <c r="P23" t="str">
        <f t="shared" si="0"/>
        <v/>
      </c>
    </row>
    <row r="24" spans="1:16" x14ac:dyDescent="0.25">
      <c r="A24" s="2">
        <v>1</v>
      </c>
      <c r="B24" s="1">
        <v>689939</v>
      </c>
      <c r="C24">
        <v>100</v>
      </c>
      <c r="D24" t="s">
        <v>269</v>
      </c>
      <c r="E24" t="s">
        <v>268</v>
      </c>
      <c r="F24" t="s">
        <v>24</v>
      </c>
      <c r="K24" t="s">
        <v>1087</v>
      </c>
      <c r="L24" t="s">
        <v>1087</v>
      </c>
      <c r="M24" t="s">
        <v>1087</v>
      </c>
      <c r="N24" t="s">
        <v>1087</v>
      </c>
      <c r="P24" t="str">
        <f t="shared" si="0"/>
        <v/>
      </c>
    </row>
    <row r="25" spans="1:16" x14ac:dyDescent="0.25">
      <c r="A25" s="2">
        <v>1</v>
      </c>
      <c r="B25" s="1">
        <v>689942</v>
      </c>
      <c r="C25">
        <v>100</v>
      </c>
      <c r="D25" t="s">
        <v>303</v>
      </c>
      <c r="E25" t="s">
        <v>302</v>
      </c>
      <c r="F25" t="s">
        <v>24</v>
      </c>
      <c r="K25" t="s">
        <v>1087</v>
      </c>
      <c r="L25" t="s">
        <v>1087</v>
      </c>
      <c r="M25" t="s">
        <v>1087</v>
      </c>
      <c r="N25" t="s">
        <v>1087</v>
      </c>
      <c r="P25" t="str">
        <f t="shared" si="0"/>
        <v/>
      </c>
    </row>
    <row r="26" spans="1:16" x14ac:dyDescent="0.25">
      <c r="A26" s="2">
        <v>1</v>
      </c>
      <c r="B26" s="1">
        <v>691178</v>
      </c>
      <c r="C26">
        <v>100</v>
      </c>
      <c r="D26" t="s">
        <v>246</v>
      </c>
      <c r="E26" t="s">
        <v>245</v>
      </c>
      <c r="F26" t="s">
        <v>24</v>
      </c>
      <c r="K26" t="s">
        <v>1087</v>
      </c>
      <c r="L26" t="s">
        <v>1087</v>
      </c>
      <c r="M26" t="s">
        <v>1087</v>
      </c>
      <c r="N26" t="s">
        <v>1087</v>
      </c>
      <c r="P26" t="str">
        <f t="shared" si="0"/>
        <v/>
      </c>
    </row>
    <row r="27" spans="1:16" x14ac:dyDescent="0.25">
      <c r="A27" s="2">
        <v>1</v>
      </c>
      <c r="B27" s="1">
        <v>691179</v>
      </c>
      <c r="C27">
        <v>100</v>
      </c>
      <c r="D27" t="s">
        <v>241</v>
      </c>
      <c r="E27" t="s">
        <v>240</v>
      </c>
      <c r="F27" t="s">
        <v>24</v>
      </c>
      <c r="K27" t="s">
        <v>1087</v>
      </c>
      <c r="L27" t="s">
        <v>1087</v>
      </c>
      <c r="M27" t="s">
        <v>1087</v>
      </c>
      <c r="N27" t="s">
        <v>1087</v>
      </c>
      <c r="P27" t="str">
        <f t="shared" si="0"/>
        <v/>
      </c>
    </row>
    <row r="28" spans="1:16" x14ac:dyDescent="0.25">
      <c r="A28" s="2">
        <v>1</v>
      </c>
      <c r="B28" s="1">
        <v>691180</v>
      </c>
      <c r="C28">
        <v>100</v>
      </c>
      <c r="D28" t="s">
        <v>233</v>
      </c>
      <c r="E28" t="s">
        <v>232</v>
      </c>
      <c r="F28" t="s">
        <v>24</v>
      </c>
      <c r="K28" t="s">
        <v>1087</v>
      </c>
      <c r="L28" t="s">
        <v>1087</v>
      </c>
      <c r="M28" t="s">
        <v>1087</v>
      </c>
      <c r="N28" t="s">
        <v>1087</v>
      </c>
      <c r="P28" t="str">
        <f t="shared" si="0"/>
        <v/>
      </c>
    </row>
    <row r="29" spans="1:16" x14ac:dyDescent="0.25">
      <c r="A29" s="2">
        <v>1</v>
      </c>
      <c r="B29" s="1">
        <v>692350</v>
      </c>
      <c r="C29">
        <v>100</v>
      </c>
      <c r="D29" t="s">
        <v>272</v>
      </c>
      <c r="E29" t="s">
        <v>271</v>
      </c>
      <c r="F29" t="s">
        <v>24</v>
      </c>
      <c r="K29" t="s">
        <v>1087</v>
      </c>
      <c r="L29" t="s">
        <v>1087</v>
      </c>
      <c r="M29" t="s">
        <v>1087</v>
      </c>
      <c r="N29" t="s">
        <v>1087</v>
      </c>
      <c r="P29" t="str">
        <f t="shared" si="0"/>
        <v/>
      </c>
    </row>
    <row r="30" spans="1:16" x14ac:dyDescent="0.25">
      <c r="A30" s="2">
        <v>1</v>
      </c>
      <c r="B30" s="1">
        <v>693764</v>
      </c>
      <c r="C30">
        <v>100</v>
      </c>
      <c r="D30" t="s">
        <v>129</v>
      </c>
      <c r="E30" t="s">
        <v>211</v>
      </c>
      <c r="F30" t="s">
        <v>24</v>
      </c>
      <c r="K30" t="s">
        <v>1087</v>
      </c>
      <c r="L30" t="s">
        <v>1087</v>
      </c>
      <c r="M30" t="s">
        <v>1087</v>
      </c>
      <c r="N30" t="s">
        <v>1087</v>
      </c>
      <c r="P30" t="str">
        <f t="shared" si="0"/>
        <v/>
      </c>
    </row>
    <row r="31" spans="1:16" x14ac:dyDescent="0.25">
      <c r="A31" s="2">
        <v>1</v>
      </c>
      <c r="B31" s="1">
        <v>693765</v>
      </c>
      <c r="C31">
        <v>100</v>
      </c>
      <c r="D31" t="s">
        <v>103</v>
      </c>
      <c r="E31" t="s">
        <v>142</v>
      </c>
      <c r="F31" t="s">
        <v>24</v>
      </c>
      <c r="K31" t="s">
        <v>1087</v>
      </c>
      <c r="L31" t="s">
        <v>1087</v>
      </c>
      <c r="M31" t="s">
        <v>1087</v>
      </c>
      <c r="N31" t="s">
        <v>1087</v>
      </c>
      <c r="P31" t="str">
        <f t="shared" si="0"/>
        <v/>
      </c>
    </row>
    <row r="32" spans="1:16" x14ac:dyDescent="0.25">
      <c r="A32" s="2">
        <v>1</v>
      </c>
      <c r="B32" s="1">
        <v>693779</v>
      </c>
      <c r="C32">
        <v>100</v>
      </c>
      <c r="D32" t="s">
        <v>306</v>
      </c>
      <c r="E32" t="s">
        <v>305</v>
      </c>
      <c r="F32" t="s">
        <v>24</v>
      </c>
      <c r="K32" t="s">
        <v>1087</v>
      </c>
      <c r="L32" t="s">
        <v>1087</v>
      </c>
      <c r="M32" t="s">
        <v>1087</v>
      </c>
      <c r="N32" t="s">
        <v>1087</v>
      </c>
      <c r="P32" t="str">
        <f t="shared" si="0"/>
        <v/>
      </c>
    </row>
    <row r="33" spans="1:16" x14ac:dyDescent="0.25">
      <c r="A33" s="2">
        <v>1</v>
      </c>
      <c r="B33" s="1">
        <v>700087</v>
      </c>
      <c r="C33">
        <v>100</v>
      </c>
      <c r="D33" t="s">
        <v>1095</v>
      </c>
      <c r="E33" t="s">
        <v>213</v>
      </c>
      <c r="F33" t="s">
        <v>24</v>
      </c>
      <c r="K33" t="s">
        <v>1087</v>
      </c>
      <c r="L33" t="s">
        <v>1087</v>
      </c>
      <c r="M33" t="s">
        <v>1087</v>
      </c>
      <c r="N33" t="s">
        <v>1087</v>
      </c>
      <c r="P33" t="str">
        <f t="shared" si="0"/>
        <v/>
      </c>
    </row>
    <row r="34" spans="1:16" x14ac:dyDescent="0.25">
      <c r="A34" s="2">
        <v>45566</v>
      </c>
      <c r="B34" s="1">
        <v>700087</v>
      </c>
      <c r="C34">
        <v>20</v>
      </c>
      <c r="D34" t="s">
        <v>54</v>
      </c>
      <c r="E34" t="s">
        <v>213</v>
      </c>
      <c r="F34" t="s">
        <v>24</v>
      </c>
      <c r="K34" t="s">
        <v>1087</v>
      </c>
      <c r="L34" t="s">
        <v>1087</v>
      </c>
      <c r="M34" t="s">
        <v>1087</v>
      </c>
      <c r="N34" t="s">
        <v>1087</v>
      </c>
      <c r="P34" t="str">
        <f t="shared" ref="P34:P65" si="1">IF(K34&lt;&gt;"",N34=D34,"")</f>
        <v/>
      </c>
    </row>
    <row r="35" spans="1:16" x14ac:dyDescent="0.25">
      <c r="A35" s="2">
        <v>45566</v>
      </c>
      <c r="B35" s="1">
        <v>700087</v>
      </c>
      <c r="C35">
        <v>10</v>
      </c>
      <c r="D35" t="s">
        <v>1096</v>
      </c>
      <c r="E35" t="s">
        <v>213</v>
      </c>
      <c r="F35" t="s">
        <v>24</v>
      </c>
      <c r="K35" t="s">
        <v>1087</v>
      </c>
      <c r="L35" t="s">
        <v>1087</v>
      </c>
      <c r="M35" t="s">
        <v>1087</v>
      </c>
      <c r="N35" t="s">
        <v>1087</v>
      </c>
      <c r="P35" t="str">
        <f t="shared" si="1"/>
        <v/>
      </c>
    </row>
    <row r="36" spans="1:16" x14ac:dyDescent="0.25">
      <c r="A36" s="2">
        <v>45566</v>
      </c>
      <c r="B36" s="1">
        <v>700087</v>
      </c>
      <c r="C36">
        <v>40</v>
      </c>
      <c r="D36" t="s">
        <v>23</v>
      </c>
      <c r="E36" t="s">
        <v>213</v>
      </c>
      <c r="F36" t="s">
        <v>24</v>
      </c>
      <c r="K36" t="s">
        <v>1087</v>
      </c>
      <c r="L36" t="s">
        <v>1087</v>
      </c>
      <c r="M36" t="s">
        <v>1087</v>
      </c>
      <c r="N36" t="s">
        <v>1087</v>
      </c>
      <c r="P36" t="str">
        <f t="shared" si="1"/>
        <v/>
      </c>
    </row>
    <row r="37" spans="1:16" x14ac:dyDescent="0.25">
      <c r="A37" s="2">
        <v>45566</v>
      </c>
      <c r="B37" s="1">
        <v>700087</v>
      </c>
      <c r="C37">
        <v>25</v>
      </c>
      <c r="D37" t="s">
        <v>1097</v>
      </c>
      <c r="E37" t="s">
        <v>213</v>
      </c>
      <c r="F37" t="s">
        <v>24</v>
      </c>
      <c r="K37" t="s">
        <v>1087</v>
      </c>
      <c r="L37" t="s">
        <v>1087</v>
      </c>
      <c r="M37" t="s">
        <v>1087</v>
      </c>
      <c r="N37" t="s">
        <v>1087</v>
      </c>
      <c r="P37" t="str">
        <f t="shared" si="1"/>
        <v/>
      </c>
    </row>
    <row r="38" spans="1:16" x14ac:dyDescent="0.25">
      <c r="A38" s="2">
        <v>45566</v>
      </c>
      <c r="B38" s="1">
        <v>700087</v>
      </c>
      <c r="C38">
        <v>5</v>
      </c>
      <c r="D38" t="s">
        <v>41</v>
      </c>
      <c r="E38" t="s">
        <v>213</v>
      </c>
      <c r="F38" t="s">
        <v>24</v>
      </c>
      <c r="K38" t="s">
        <v>1087</v>
      </c>
      <c r="L38" t="s">
        <v>1087</v>
      </c>
      <c r="M38" t="s">
        <v>1087</v>
      </c>
      <c r="N38" t="s">
        <v>1087</v>
      </c>
      <c r="P38" t="str">
        <f t="shared" si="1"/>
        <v/>
      </c>
    </row>
    <row r="39" spans="1:16" x14ac:dyDescent="0.25">
      <c r="A39" s="2">
        <v>1</v>
      </c>
      <c r="B39" s="1">
        <v>700206</v>
      </c>
      <c r="C39">
        <v>100</v>
      </c>
      <c r="D39" t="s">
        <v>44</v>
      </c>
      <c r="E39" t="s">
        <v>218</v>
      </c>
      <c r="F39" t="s">
        <v>24</v>
      </c>
      <c r="K39" t="s">
        <v>1087</v>
      </c>
      <c r="L39" t="s">
        <v>1087</v>
      </c>
      <c r="M39" t="s">
        <v>1087</v>
      </c>
      <c r="N39" t="s">
        <v>1087</v>
      </c>
      <c r="P39" t="str">
        <f t="shared" si="1"/>
        <v/>
      </c>
    </row>
    <row r="40" spans="1:16" x14ac:dyDescent="0.25">
      <c r="A40" s="2">
        <v>1</v>
      </c>
      <c r="B40" s="1">
        <v>701535</v>
      </c>
      <c r="C40">
        <v>100</v>
      </c>
      <c r="D40" t="s">
        <v>54</v>
      </c>
      <c r="E40" t="s">
        <v>69</v>
      </c>
      <c r="F40" t="s">
        <v>24</v>
      </c>
      <c r="K40" t="s">
        <v>1087</v>
      </c>
      <c r="L40" t="s">
        <v>1087</v>
      </c>
      <c r="M40" t="s">
        <v>1087</v>
      </c>
      <c r="N40" t="s">
        <v>1087</v>
      </c>
      <c r="P40" t="str">
        <f t="shared" si="1"/>
        <v/>
      </c>
    </row>
    <row r="41" spans="1:16" x14ac:dyDescent="0.25">
      <c r="A41" s="2">
        <v>1</v>
      </c>
      <c r="B41" s="1">
        <v>703827</v>
      </c>
      <c r="C41">
        <v>100</v>
      </c>
      <c r="D41" t="s">
        <v>1098</v>
      </c>
      <c r="E41" t="s">
        <v>169</v>
      </c>
      <c r="F41" t="s">
        <v>24</v>
      </c>
      <c r="G41" s="1"/>
      <c r="H41" s="1"/>
      <c r="I41" s="1"/>
      <c r="J41" s="1"/>
      <c r="K41" t="s">
        <v>1087</v>
      </c>
      <c r="L41" t="s">
        <v>1087</v>
      </c>
      <c r="M41" t="s">
        <v>1087</v>
      </c>
      <c r="N41" t="s">
        <v>1087</v>
      </c>
      <c r="O41" s="1"/>
      <c r="P41" t="str">
        <f t="shared" si="1"/>
        <v/>
      </c>
    </row>
    <row r="42" spans="1:16" x14ac:dyDescent="0.25">
      <c r="A42" s="2">
        <v>44959</v>
      </c>
      <c r="B42" s="1">
        <v>703827</v>
      </c>
      <c r="C42">
        <v>85</v>
      </c>
      <c r="D42" t="s">
        <v>1099</v>
      </c>
      <c r="E42" t="s">
        <v>169</v>
      </c>
      <c r="F42" t="s">
        <v>24</v>
      </c>
      <c r="G42" s="1"/>
      <c r="H42" s="1"/>
      <c r="I42" s="1"/>
      <c r="J42" s="1"/>
      <c r="K42" t="s">
        <v>1087</v>
      </c>
      <c r="L42" t="s">
        <v>1087</v>
      </c>
      <c r="M42" t="s">
        <v>1087</v>
      </c>
      <c r="N42" t="s">
        <v>1087</v>
      </c>
      <c r="O42" s="1"/>
      <c r="P42" t="str">
        <f t="shared" si="1"/>
        <v/>
      </c>
    </row>
    <row r="43" spans="1:16" x14ac:dyDescent="0.25">
      <c r="A43" s="2">
        <v>44959</v>
      </c>
      <c r="B43" s="1">
        <v>703827</v>
      </c>
      <c r="C43">
        <v>15</v>
      </c>
      <c r="D43" t="s">
        <v>1100</v>
      </c>
      <c r="E43" t="s">
        <v>169</v>
      </c>
      <c r="F43" t="s">
        <v>24</v>
      </c>
      <c r="G43" s="1"/>
      <c r="H43" s="1"/>
      <c r="I43" s="1"/>
      <c r="J43" s="1"/>
      <c r="K43" t="s">
        <v>1087</v>
      </c>
      <c r="L43" t="s">
        <v>1087</v>
      </c>
      <c r="M43" t="s">
        <v>1087</v>
      </c>
      <c r="N43" t="s">
        <v>1087</v>
      </c>
      <c r="O43" s="1"/>
      <c r="P43" t="str">
        <f t="shared" si="1"/>
        <v/>
      </c>
    </row>
    <row r="44" spans="1:16" x14ac:dyDescent="0.25">
      <c r="A44" s="2">
        <v>1</v>
      </c>
      <c r="B44" s="1">
        <v>704620</v>
      </c>
      <c r="C44">
        <v>40</v>
      </c>
      <c r="D44" t="s">
        <v>1101</v>
      </c>
      <c r="E44" t="s">
        <v>220</v>
      </c>
      <c r="F44" t="s">
        <v>24</v>
      </c>
      <c r="K44" t="s">
        <v>1087</v>
      </c>
      <c r="L44" t="s">
        <v>1087</v>
      </c>
      <c r="M44" t="s">
        <v>1087</v>
      </c>
      <c r="N44" t="s">
        <v>1087</v>
      </c>
      <c r="P44" t="str">
        <f t="shared" si="1"/>
        <v/>
      </c>
    </row>
    <row r="45" spans="1:16" x14ac:dyDescent="0.25">
      <c r="A45" s="2">
        <v>1</v>
      </c>
      <c r="B45" s="1">
        <v>704620</v>
      </c>
      <c r="C45">
        <v>30</v>
      </c>
      <c r="D45" t="s">
        <v>41</v>
      </c>
      <c r="E45" t="s">
        <v>220</v>
      </c>
      <c r="F45" t="s">
        <v>24</v>
      </c>
      <c r="K45" t="s">
        <v>1087</v>
      </c>
      <c r="L45" t="s">
        <v>1087</v>
      </c>
      <c r="M45" t="s">
        <v>1087</v>
      </c>
      <c r="N45" t="s">
        <v>1087</v>
      </c>
      <c r="P45" t="str">
        <f t="shared" si="1"/>
        <v/>
      </c>
    </row>
    <row r="46" spans="1:16" x14ac:dyDescent="0.25">
      <c r="A46" s="2">
        <v>1</v>
      </c>
      <c r="B46" s="1">
        <v>704620</v>
      </c>
      <c r="C46">
        <v>30</v>
      </c>
      <c r="D46" t="s">
        <v>67</v>
      </c>
      <c r="E46" t="s">
        <v>220</v>
      </c>
      <c r="F46" t="s">
        <v>24</v>
      </c>
      <c r="K46" t="s">
        <v>1087</v>
      </c>
      <c r="L46" t="s">
        <v>1087</v>
      </c>
      <c r="M46" t="s">
        <v>1087</v>
      </c>
      <c r="N46" t="s">
        <v>1087</v>
      </c>
      <c r="P46" t="str">
        <f t="shared" si="1"/>
        <v/>
      </c>
    </row>
    <row r="47" spans="1:16" x14ac:dyDescent="0.25">
      <c r="A47" s="2">
        <v>1</v>
      </c>
      <c r="B47" s="1">
        <v>706632</v>
      </c>
      <c r="C47">
        <v>100</v>
      </c>
      <c r="D47" t="s">
        <v>188</v>
      </c>
      <c r="E47" t="s">
        <v>187</v>
      </c>
      <c r="F47" t="s">
        <v>24</v>
      </c>
      <c r="K47" t="s">
        <v>1087</v>
      </c>
      <c r="L47" t="s">
        <v>1087</v>
      </c>
      <c r="M47" t="s">
        <v>1087</v>
      </c>
      <c r="N47" t="s">
        <v>1087</v>
      </c>
      <c r="P47" t="str">
        <f t="shared" si="1"/>
        <v/>
      </c>
    </row>
    <row r="48" spans="1:16" x14ac:dyDescent="0.25">
      <c r="A48" s="2">
        <v>1</v>
      </c>
      <c r="B48" s="1">
        <v>707636</v>
      </c>
      <c r="C48">
        <v>100</v>
      </c>
      <c r="D48" t="s">
        <v>238</v>
      </c>
      <c r="E48" t="s">
        <v>237</v>
      </c>
      <c r="F48" t="s">
        <v>24</v>
      </c>
      <c r="K48" t="s">
        <v>1087</v>
      </c>
      <c r="L48" t="s">
        <v>1087</v>
      </c>
      <c r="M48" t="s">
        <v>1087</v>
      </c>
      <c r="N48" t="s">
        <v>1087</v>
      </c>
      <c r="P48" t="str">
        <f t="shared" si="1"/>
        <v/>
      </c>
    </row>
    <row r="49" spans="1:16" x14ac:dyDescent="0.25">
      <c r="A49" s="2">
        <v>1</v>
      </c>
      <c r="B49" s="1">
        <v>707638</v>
      </c>
      <c r="C49">
        <v>100</v>
      </c>
      <c r="D49" t="s">
        <v>113</v>
      </c>
      <c r="E49" t="s">
        <v>112</v>
      </c>
      <c r="F49" t="s">
        <v>24</v>
      </c>
      <c r="K49" t="s">
        <v>1087</v>
      </c>
      <c r="L49" t="s">
        <v>1087</v>
      </c>
      <c r="M49" t="s">
        <v>1087</v>
      </c>
      <c r="N49" t="s">
        <v>1087</v>
      </c>
      <c r="P49" t="str">
        <f t="shared" si="1"/>
        <v/>
      </c>
    </row>
    <row r="50" spans="1:16" x14ac:dyDescent="0.25">
      <c r="A50" s="2">
        <v>1</v>
      </c>
      <c r="B50" s="1">
        <v>707683</v>
      </c>
      <c r="C50">
        <v>100</v>
      </c>
      <c r="D50" t="s">
        <v>1091</v>
      </c>
      <c r="E50" t="s">
        <v>235</v>
      </c>
      <c r="F50" t="s">
        <v>24</v>
      </c>
      <c r="K50" t="s">
        <v>1087</v>
      </c>
      <c r="L50" t="s">
        <v>1087</v>
      </c>
      <c r="M50" t="s">
        <v>1087</v>
      </c>
      <c r="N50" t="s">
        <v>1087</v>
      </c>
      <c r="P50" t="str">
        <f t="shared" si="1"/>
        <v/>
      </c>
    </row>
    <row r="51" spans="1:16" x14ac:dyDescent="0.25">
      <c r="A51" s="2">
        <v>1</v>
      </c>
      <c r="B51" s="1">
        <v>708783</v>
      </c>
      <c r="C51">
        <v>100</v>
      </c>
      <c r="D51" t="s">
        <v>54</v>
      </c>
      <c r="E51" t="s">
        <v>177</v>
      </c>
      <c r="F51" t="s">
        <v>24</v>
      </c>
      <c r="K51" t="s">
        <v>1087</v>
      </c>
      <c r="L51" t="s">
        <v>1087</v>
      </c>
      <c r="M51" t="s">
        <v>1087</v>
      </c>
      <c r="N51" t="s">
        <v>1087</v>
      </c>
      <c r="P51" t="str">
        <f t="shared" si="1"/>
        <v/>
      </c>
    </row>
    <row r="52" spans="1:16" x14ac:dyDescent="0.25">
      <c r="A52" s="2">
        <v>1</v>
      </c>
      <c r="B52" s="1">
        <v>708784</v>
      </c>
      <c r="C52">
        <v>100</v>
      </c>
      <c r="D52" t="s">
        <v>150</v>
      </c>
      <c r="E52" t="s">
        <v>149</v>
      </c>
      <c r="F52" t="s">
        <v>24</v>
      </c>
      <c r="K52" t="s">
        <v>1087</v>
      </c>
      <c r="L52" t="s">
        <v>1087</v>
      </c>
      <c r="M52" t="s">
        <v>1087</v>
      </c>
      <c r="N52" t="s">
        <v>1087</v>
      </c>
      <c r="P52" t="str">
        <f t="shared" si="1"/>
        <v/>
      </c>
    </row>
    <row r="53" spans="1:16" x14ac:dyDescent="0.25">
      <c r="A53" s="2">
        <v>1</v>
      </c>
      <c r="B53" s="1">
        <v>708786</v>
      </c>
      <c r="C53">
        <v>100</v>
      </c>
      <c r="D53" t="s">
        <v>23</v>
      </c>
      <c r="E53" t="s">
        <v>22</v>
      </c>
      <c r="F53" t="s">
        <v>24</v>
      </c>
      <c r="K53" t="s">
        <v>1087</v>
      </c>
      <c r="L53" t="s">
        <v>1087</v>
      </c>
      <c r="M53" t="s">
        <v>1087</v>
      </c>
      <c r="N53" t="s">
        <v>1087</v>
      </c>
      <c r="P53" t="str">
        <f t="shared" si="1"/>
        <v/>
      </c>
    </row>
    <row r="54" spans="1:16" x14ac:dyDescent="0.25">
      <c r="A54" s="2">
        <v>1</v>
      </c>
      <c r="B54" s="1">
        <v>708787</v>
      </c>
      <c r="C54">
        <v>100</v>
      </c>
      <c r="D54" t="s">
        <v>129</v>
      </c>
      <c r="E54" t="s">
        <v>128</v>
      </c>
      <c r="F54" t="s">
        <v>24</v>
      </c>
      <c r="K54" t="s">
        <v>1087</v>
      </c>
      <c r="L54" t="s">
        <v>1087</v>
      </c>
      <c r="M54" t="s">
        <v>1087</v>
      </c>
      <c r="N54" t="s">
        <v>1087</v>
      </c>
      <c r="P54" t="str">
        <f t="shared" si="1"/>
        <v/>
      </c>
    </row>
    <row r="55" spans="1:16" x14ac:dyDescent="0.25">
      <c r="A55" s="2">
        <v>1</v>
      </c>
      <c r="B55" s="1">
        <v>711342</v>
      </c>
      <c r="C55">
        <v>100</v>
      </c>
      <c r="D55" t="s">
        <v>96</v>
      </c>
      <c r="E55" t="s">
        <v>95</v>
      </c>
      <c r="F55" t="s">
        <v>24</v>
      </c>
      <c r="K55" t="s">
        <v>1087</v>
      </c>
      <c r="L55" t="s">
        <v>1087</v>
      </c>
      <c r="M55" t="s">
        <v>1087</v>
      </c>
      <c r="N55" t="s">
        <v>1087</v>
      </c>
      <c r="P55" t="str">
        <f t="shared" si="1"/>
        <v/>
      </c>
    </row>
    <row r="56" spans="1:16" x14ac:dyDescent="0.25">
      <c r="A56" s="2">
        <v>1</v>
      </c>
      <c r="B56" s="1">
        <v>712560</v>
      </c>
      <c r="C56">
        <v>100</v>
      </c>
      <c r="D56" t="s">
        <v>50</v>
      </c>
      <c r="E56" t="s">
        <v>88</v>
      </c>
      <c r="F56" t="s">
        <v>24</v>
      </c>
      <c r="K56" t="s">
        <v>1087</v>
      </c>
      <c r="L56" t="s">
        <v>1087</v>
      </c>
      <c r="M56" t="s">
        <v>1087</v>
      </c>
      <c r="N56" t="s">
        <v>1087</v>
      </c>
      <c r="P56" t="str">
        <f t="shared" si="1"/>
        <v/>
      </c>
    </row>
    <row r="57" spans="1:16" x14ac:dyDescent="0.25">
      <c r="A57" s="2">
        <v>1</v>
      </c>
      <c r="B57" s="1">
        <v>713408</v>
      </c>
      <c r="C57">
        <v>50</v>
      </c>
      <c r="D57" t="s">
        <v>1102</v>
      </c>
      <c r="E57" t="s">
        <v>215</v>
      </c>
      <c r="F57" t="s">
        <v>24</v>
      </c>
      <c r="K57" t="s">
        <v>1087</v>
      </c>
      <c r="L57" t="s">
        <v>1087</v>
      </c>
      <c r="M57" t="s">
        <v>1087</v>
      </c>
      <c r="N57" t="s">
        <v>1087</v>
      </c>
      <c r="P57" t="str">
        <f t="shared" si="1"/>
        <v/>
      </c>
    </row>
    <row r="58" spans="1:16" x14ac:dyDescent="0.25">
      <c r="A58" s="2">
        <v>1</v>
      </c>
      <c r="B58" s="1">
        <v>713408</v>
      </c>
      <c r="C58">
        <v>50</v>
      </c>
      <c r="D58" t="s">
        <v>153</v>
      </c>
      <c r="E58" t="s">
        <v>215</v>
      </c>
      <c r="F58" t="s">
        <v>24</v>
      </c>
      <c r="K58" t="s">
        <v>1087</v>
      </c>
      <c r="L58" t="s">
        <v>1087</v>
      </c>
      <c r="M58" t="s">
        <v>1087</v>
      </c>
      <c r="N58" t="s">
        <v>1087</v>
      </c>
      <c r="P58" t="str">
        <f t="shared" si="1"/>
        <v/>
      </c>
    </row>
    <row r="59" spans="1:16" x14ac:dyDescent="0.25">
      <c r="A59" s="2">
        <v>1</v>
      </c>
      <c r="B59" s="1">
        <v>713420</v>
      </c>
      <c r="C59">
        <v>100</v>
      </c>
      <c r="D59" t="s">
        <v>153</v>
      </c>
      <c r="E59" t="s">
        <v>152</v>
      </c>
      <c r="F59" t="s">
        <v>24</v>
      </c>
      <c r="K59" t="s">
        <v>1087</v>
      </c>
      <c r="L59" t="s">
        <v>1087</v>
      </c>
      <c r="M59" t="s">
        <v>1087</v>
      </c>
      <c r="N59" t="s">
        <v>1087</v>
      </c>
      <c r="P59" t="str">
        <f t="shared" si="1"/>
        <v/>
      </c>
    </row>
    <row r="60" spans="1:16" s="1" customFormat="1" x14ac:dyDescent="0.25">
      <c r="A60" s="2">
        <v>1</v>
      </c>
      <c r="B60" s="1">
        <v>713421</v>
      </c>
      <c r="C60">
        <v>100</v>
      </c>
      <c r="D60" t="s">
        <v>150</v>
      </c>
      <c r="E60" t="s">
        <v>179</v>
      </c>
      <c r="F60" t="s">
        <v>24</v>
      </c>
      <c r="G60"/>
      <c r="H60"/>
      <c r="I60"/>
      <c r="J60"/>
      <c r="K60" t="s">
        <v>1087</v>
      </c>
      <c r="L60" t="s">
        <v>1087</v>
      </c>
      <c r="M60" t="s">
        <v>1087</v>
      </c>
      <c r="N60" t="s">
        <v>1087</v>
      </c>
      <c r="O60"/>
      <c r="P60" t="str">
        <f t="shared" si="1"/>
        <v/>
      </c>
    </row>
    <row r="61" spans="1:16" s="1" customFormat="1" x14ac:dyDescent="0.25">
      <c r="A61" s="2">
        <v>1</v>
      </c>
      <c r="B61" s="1">
        <v>713971</v>
      </c>
      <c r="C61">
        <v>35</v>
      </c>
      <c r="D61" t="s">
        <v>1103</v>
      </c>
      <c r="E61" t="s">
        <v>181</v>
      </c>
      <c r="F61" t="s">
        <v>24</v>
      </c>
      <c r="G61"/>
      <c r="H61"/>
      <c r="I61"/>
      <c r="J61"/>
      <c r="K61" t="s">
        <v>1087</v>
      </c>
      <c r="L61" t="s">
        <v>1087</v>
      </c>
      <c r="M61" t="s">
        <v>1087</v>
      </c>
      <c r="N61" t="s">
        <v>1087</v>
      </c>
      <c r="O61"/>
      <c r="P61" t="str">
        <f t="shared" si="1"/>
        <v/>
      </c>
    </row>
    <row r="62" spans="1:16" s="1" customFormat="1" x14ac:dyDescent="0.25">
      <c r="A62" s="2">
        <v>1</v>
      </c>
      <c r="B62" s="1">
        <v>713971</v>
      </c>
      <c r="C62">
        <v>20</v>
      </c>
      <c r="D62" t="s">
        <v>1104</v>
      </c>
      <c r="E62" t="s">
        <v>181</v>
      </c>
      <c r="F62" t="s">
        <v>24</v>
      </c>
      <c r="G62"/>
      <c r="H62"/>
      <c r="I62"/>
      <c r="J62"/>
      <c r="K62" t="s">
        <v>1087</v>
      </c>
      <c r="L62" t="s">
        <v>1087</v>
      </c>
      <c r="M62" t="s">
        <v>1087</v>
      </c>
      <c r="N62" t="s">
        <v>1087</v>
      </c>
      <c r="O62"/>
      <c r="P62" t="str">
        <f t="shared" si="1"/>
        <v/>
      </c>
    </row>
    <row r="63" spans="1:16" x14ac:dyDescent="0.25">
      <c r="A63" s="2">
        <v>1</v>
      </c>
      <c r="B63" s="1">
        <v>713971</v>
      </c>
      <c r="C63">
        <v>20</v>
      </c>
      <c r="D63" t="s">
        <v>1096</v>
      </c>
      <c r="E63" t="s">
        <v>181</v>
      </c>
      <c r="F63" t="s">
        <v>24</v>
      </c>
      <c r="K63" t="s">
        <v>1087</v>
      </c>
      <c r="L63" t="s">
        <v>1087</v>
      </c>
      <c r="M63" t="s">
        <v>1087</v>
      </c>
      <c r="N63" t="s">
        <v>1087</v>
      </c>
      <c r="P63" t="str">
        <f t="shared" si="1"/>
        <v/>
      </c>
    </row>
    <row r="64" spans="1:16" x14ac:dyDescent="0.25">
      <c r="A64" s="2">
        <v>1</v>
      </c>
      <c r="B64" s="1">
        <v>713971</v>
      </c>
      <c r="C64">
        <v>15</v>
      </c>
      <c r="D64" t="s">
        <v>1105</v>
      </c>
      <c r="E64" t="s">
        <v>181</v>
      </c>
      <c r="F64" t="s">
        <v>24</v>
      </c>
      <c r="K64" t="s">
        <v>1087</v>
      </c>
      <c r="L64" t="s">
        <v>1087</v>
      </c>
      <c r="M64" t="s">
        <v>1087</v>
      </c>
      <c r="N64" t="s">
        <v>1087</v>
      </c>
      <c r="P64" t="str">
        <f t="shared" si="1"/>
        <v/>
      </c>
    </row>
    <row r="65" spans="1:16" x14ac:dyDescent="0.25">
      <c r="A65" s="2">
        <v>1</v>
      </c>
      <c r="B65" s="1">
        <v>713971</v>
      </c>
      <c r="C65">
        <v>10</v>
      </c>
      <c r="D65" t="s">
        <v>1097</v>
      </c>
      <c r="E65" t="s">
        <v>181</v>
      </c>
      <c r="F65" t="s">
        <v>24</v>
      </c>
      <c r="K65" t="s">
        <v>1087</v>
      </c>
      <c r="L65" t="s">
        <v>1087</v>
      </c>
      <c r="M65" t="s">
        <v>1087</v>
      </c>
      <c r="N65" t="s">
        <v>1087</v>
      </c>
      <c r="P65" t="str">
        <f t="shared" si="1"/>
        <v/>
      </c>
    </row>
    <row r="66" spans="1:16" x14ac:dyDescent="0.25">
      <c r="A66" s="2">
        <v>1</v>
      </c>
      <c r="B66" s="1">
        <v>714113</v>
      </c>
      <c r="C66">
        <v>100</v>
      </c>
      <c r="D66" t="s">
        <v>19</v>
      </c>
      <c r="E66" t="s">
        <v>131</v>
      </c>
      <c r="F66" t="s">
        <v>24</v>
      </c>
      <c r="K66" t="s">
        <v>1087</v>
      </c>
      <c r="L66" t="s">
        <v>1087</v>
      </c>
      <c r="M66" t="s">
        <v>1087</v>
      </c>
      <c r="N66" t="s">
        <v>1087</v>
      </c>
      <c r="P66" t="str">
        <f t="shared" ref="P66:P97" si="2">IF(K66&lt;&gt;"",N66=D66,"")</f>
        <v/>
      </c>
    </row>
    <row r="67" spans="1:16" x14ac:dyDescent="0.25">
      <c r="A67" s="2">
        <v>1</v>
      </c>
      <c r="B67" s="1">
        <v>714291</v>
      </c>
      <c r="C67">
        <v>100</v>
      </c>
      <c r="D67" t="s">
        <v>103</v>
      </c>
      <c r="E67" t="s">
        <v>190</v>
      </c>
      <c r="F67" t="s">
        <v>24</v>
      </c>
      <c r="K67" t="s">
        <v>1087</v>
      </c>
      <c r="L67" t="s">
        <v>1087</v>
      </c>
      <c r="M67" t="s">
        <v>1087</v>
      </c>
      <c r="N67" t="s">
        <v>1087</v>
      </c>
      <c r="P67" t="str">
        <f t="shared" si="2"/>
        <v/>
      </c>
    </row>
    <row r="68" spans="1:16" x14ac:dyDescent="0.25">
      <c r="A68" s="2">
        <v>1</v>
      </c>
      <c r="B68" s="1">
        <v>714548</v>
      </c>
      <c r="C68">
        <v>100</v>
      </c>
      <c r="D68" t="s">
        <v>54</v>
      </c>
      <c r="E68" t="s">
        <v>64</v>
      </c>
      <c r="F68" t="s">
        <v>24</v>
      </c>
      <c r="K68" t="s">
        <v>1087</v>
      </c>
      <c r="L68" t="s">
        <v>1087</v>
      </c>
      <c r="M68" t="s">
        <v>1087</v>
      </c>
      <c r="N68" t="s">
        <v>1087</v>
      </c>
      <c r="P68" t="str">
        <f t="shared" si="2"/>
        <v/>
      </c>
    </row>
    <row r="69" spans="1:16" x14ac:dyDescent="0.25">
      <c r="A69" s="2">
        <v>1</v>
      </c>
      <c r="B69" s="1">
        <v>714703</v>
      </c>
      <c r="C69">
        <v>100</v>
      </c>
      <c r="D69" t="s">
        <v>1095</v>
      </c>
      <c r="E69" t="s">
        <v>115</v>
      </c>
      <c r="F69" t="s">
        <v>24</v>
      </c>
      <c r="K69" t="s">
        <v>1087</v>
      </c>
      <c r="L69" t="s">
        <v>1087</v>
      </c>
      <c r="M69" t="s">
        <v>1087</v>
      </c>
      <c r="N69" t="s">
        <v>1087</v>
      </c>
      <c r="P69" t="str">
        <f t="shared" si="2"/>
        <v/>
      </c>
    </row>
    <row r="70" spans="1:16" x14ac:dyDescent="0.25">
      <c r="A70" s="2">
        <v>45566</v>
      </c>
      <c r="B70" s="1">
        <v>714703</v>
      </c>
      <c r="C70">
        <v>20</v>
      </c>
      <c r="D70" t="s">
        <v>54</v>
      </c>
      <c r="E70" t="s">
        <v>115</v>
      </c>
      <c r="F70" t="s">
        <v>24</v>
      </c>
      <c r="K70" t="s">
        <v>1087</v>
      </c>
      <c r="L70" t="s">
        <v>1087</v>
      </c>
      <c r="M70" t="s">
        <v>1087</v>
      </c>
      <c r="N70" t="s">
        <v>1087</v>
      </c>
      <c r="P70" t="str">
        <f t="shared" si="2"/>
        <v/>
      </c>
    </row>
    <row r="71" spans="1:16" x14ac:dyDescent="0.25">
      <c r="A71" s="2">
        <v>45566</v>
      </c>
      <c r="B71" s="1">
        <v>714703</v>
      </c>
      <c r="C71">
        <v>10</v>
      </c>
      <c r="D71" t="s">
        <v>1096</v>
      </c>
      <c r="E71" t="s">
        <v>115</v>
      </c>
      <c r="F71" t="s">
        <v>24</v>
      </c>
      <c r="K71" t="s">
        <v>1087</v>
      </c>
      <c r="L71" t="s">
        <v>1087</v>
      </c>
      <c r="M71" t="s">
        <v>1087</v>
      </c>
      <c r="N71" t="s">
        <v>1087</v>
      </c>
      <c r="P71" t="str">
        <f t="shared" si="2"/>
        <v/>
      </c>
    </row>
    <row r="72" spans="1:16" x14ac:dyDescent="0.25">
      <c r="A72" s="2">
        <v>45566</v>
      </c>
      <c r="B72" s="1">
        <v>714703</v>
      </c>
      <c r="C72">
        <v>25</v>
      </c>
      <c r="D72" t="s">
        <v>1097</v>
      </c>
      <c r="E72" t="s">
        <v>115</v>
      </c>
      <c r="F72" t="s">
        <v>24</v>
      </c>
      <c r="K72" t="s">
        <v>1087</v>
      </c>
      <c r="L72" t="s">
        <v>1087</v>
      </c>
      <c r="M72" t="s">
        <v>1087</v>
      </c>
      <c r="N72" t="s">
        <v>1087</v>
      </c>
      <c r="P72" t="str">
        <f t="shared" si="2"/>
        <v/>
      </c>
    </row>
    <row r="73" spans="1:16" x14ac:dyDescent="0.25">
      <c r="A73" s="2">
        <v>45566</v>
      </c>
      <c r="B73" s="1">
        <v>714703</v>
      </c>
      <c r="C73">
        <v>40</v>
      </c>
      <c r="D73" t="s">
        <v>23</v>
      </c>
      <c r="E73" t="s">
        <v>115</v>
      </c>
      <c r="F73" t="s">
        <v>24</v>
      </c>
      <c r="K73" t="s">
        <v>1087</v>
      </c>
      <c r="L73" t="s">
        <v>1087</v>
      </c>
      <c r="M73" t="s">
        <v>1087</v>
      </c>
      <c r="N73" t="s">
        <v>1087</v>
      </c>
      <c r="P73" t="str">
        <f t="shared" si="2"/>
        <v/>
      </c>
    </row>
    <row r="74" spans="1:16" x14ac:dyDescent="0.25">
      <c r="A74" s="2">
        <v>45566</v>
      </c>
      <c r="B74" s="1">
        <v>714703</v>
      </c>
      <c r="C74">
        <v>5</v>
      </c>
      <c r="D74" t="s">
        <v>41</v>
      </c>
      <c r="E74" t="s">
        <v>115</v>
      </c>
      <c r="F74" t="s">
        <v>24</v>
      </c>
      <c r="K74" t="s">
        <v>1087</v>
      </c>
      <c r="L74" t="s">
        <v>1087</v>
      </c>
      <c r="M74" t="s">
        <v>1087</v>
      </c>
      <c r="N74" t="s">
        <v>1087</v>
      </c>
      <c r="P74" t="str">
        <f t="shared" si="2"/>
        <v/>
      </c>
    </row>
    <row r="75" spans="1:16" x14ac:dyDescent="0.25">
      <c r="A75" s="2">
        <v>1</v>
      </c>
      <c r="B75" s="1">
        <v>714941</v>
      </c>
      <c r="C75">
        <v>100</v>
      </c>
      <c r="D75" t="s">
        <v>30</v>
      </c>
      <c r="E75" t="s">
        <v>160</v>
      </c>
      <c r="F75" t="s">
        <v>24</v>
      </c>
      <c r="K75" t="s">
        <v>1087</v>
      </c>
      <c r="L75" t="s">
        <v>1087</v>
      </c>
      <c r="M75" t="s">
        <v>1087</v>
      </c>
      <c r="N75" t="s">
        <v>1087</v>
      </c>
      <c r="P75" t="str">
        <f t="shared" si="2"/>
        <v/>
      </c>
    </row>
    <row r="76" spans="1:16" x14ac:dyDescent="0.25">
      <c r="A76" s="2">
        <v>1</v>
      </c>
      <c r="B76" s="1">
        <v>716405</v>
      </c>
      <c r="C76">
        <v>50</v>
      </c>
      <c r="D76" t="s">
        <v>129</v>
      </c>
      <c r="E76" t="s">
        <v>122</v>
      </c>
      <c r="F76" t="s">
        <v>24</v>
      </c>
      <c r="K76" t="s">
        <v>1087</v>
      </c>
      <c r="L76" t="s">
        <v>1087</v>
      </c>
      <c r="M76" t="s">
        <v>1087</v>
      </c>
      <c r="N76" t="s">
        <v>1087</v>
      </c>
      <c r="P76" t="str">
        <f t="shared" si="2"/>
        <v/>
      </c>
    </row>
    <row r="77" spans="1:16" x14ac:dyDescent="0.25">
      <c r="A77" s="2">
        <v>1</v>
      </c>
      <c r="B77" s="1">
        <v>716405</v>
      </c>
      <c r="C77">
        <v>50</v>
      </c>
      <c r="D77" t="s">
        <v>1106</v>
      </c>
      <c r="E77" t="s">
        <v>122</v>
      </c>
      <c r="F77" t="s">
        <v>24</v>
      </c>
      <c r="K77" t="s">
        <v>1087</v>
      </c>
      <c r="L77" t="s">
        <v>1087</v>
      </c>
      <c r="M77" t="s">
        <v>1087</v>
      </c>
      <c r="N77" t="s">
        <v>1087</v>
      </c>
      <c r="P77" t="str">
        <f t="shared" si="2"/>
        <v/>
      </c>
    </row>
    <row r="78" spans="1:16" x14ac:dyDescent="0.25">
      <c r="A78" s="2">
        <v>1</v>
      </c>
      <c r="B78" s="1">
        <v>716406</v>
      </c>
      <c r="C78">
        <v>100</v>
      </c>
      <c r="D78" t="s">
        <v>54</v>
      </c>
      <c r="E78" t="s">
        <v>209</v>
      </c>
      <c r="F78" t="s">
        <v>24</v>
      </c>
      <c r="K78" t="s">
        <v>1087</v>
      </c>
      <c r="L78" t="s">
        <v>1087</v>
      </c>
      <c r="M78" t="s">
        <v>1087</v>
      </c>
      <c r="N78" t="s">
        <v>1087</v>
      </c>
      <c r="P78" t="str">
        <f t="shared" si="2"/>
        <v/>
      </c>
    </row>
    <row r="79" spans="1:16" x14ac:dyDescent="0.25">
      <c r="A79" s="2">
        <v>1</v>
      </c>
      <c r="B79" s="1">
        <v>716407</v>
      </c>
      <c r="C79">
        <v>100</v>
      </c>
      <c r="D79" t="s">
        <v>67</v>
      </c>
      <c r="E79" t="s">
        <v>66</v>
      </c>
      <c r="F79" t="s">
        <v>24</v>
      </c>
      <c r="K79" t="s">
        <v>1087</v>
      </c>
      <c r="L79" t="s">
        <v>1087</v>
      </c>
      <c r="M79" t="s">
        <v>1087</v>
      </c>
      <c r="N79" t="s">
        <v>1087</v>
      </c>
      <c r="P79" t="str">
        <f t="shared" si="2"/>
        <v/>
      </c>
    </row>
    <row r="80" spans="1:16" x14ac:dyDescent="0.25">
      <c r="A80" s="2">
        <v>1</v>
      </c>
      <c r="B80" s="1">
        <v>716542</v>
      </c>
      <c r="C80">
        <v>75</v>
      </c>
      <c r="D80" t="s">
        <v>1107</v>
      </c>
      <c r="E80" t="s">
        <v>133</v>
      </c>
      <c r="F80" t="s">
        <v>24</v>
      </c>
      <c r="K80" t="s">
        <v>1087</v>
      </c>
      <c r="L80" t="s">
        <v>1087</v>
      </c>
      <c r="M80" t="s">
        <v>1087</v>
      </c>
      <c r="N80" t="s">
        <v>1087</v>
      </c>
      <c r="P80" t="str">
        <f t="shared" si="2"/>
        <v/>
      </c>
    </row>
    <row r="81" spans="1:16" x14ac:dyDescent="0.25">
      <c r="A81" s="2">
        <v>1</v>
      </c>
      <c r="B81" s="1">
        <v>716542</v>
      </c>
      <c r="C81">
        <v>25</v>
      </c>
      <c r="D81" t="s">
        <v>1108</v>
      </c>
      <c r="E81" t="s">
        <v>133</v>
      </c>
      <c r="F81" t="s">
        <v>24</v>
      </c>
      <c r="K81" t="s">
        <v>1087</v>
      </c>
      <c r="L81" t="s">
        <v>1087</v>
      </c>
      <c r="M81" t="s">
        <v>1087</v>
      </c>
      <c r="N81" t="s">
        <v>1087</v>
      </c>
      <c r="P81" t="str">
        <f t="shared" si="2"/>
        <v/>
      </c>
    </row>
    <row r="82" spans="1:16" x14ac:dyDescent="0.25">
      <c r="A82" s="2">
        <v>1</v>
      </c>
      <c r="B82" s="1">
        <v>716679</v>
      </c>
      <c r="C82">
        <v>100</v>
      </c>
      <c r="D82" t="s">
        <v>320</v>
      </c>
      <c r="E82" t="s">
        <v>319</v>
      </c>
      <c r="F82" t="s">
        <v>24</v>
      </c>
      <c r="K82" t="s">
        <v>1087</v>
      </c>
      <c r="L82" t="s">
        <v>1087</v>
      </c>
      <c r="M82" t="s">
        <v>1087</v>
      </c>
      <c r="N82" t="s">
        <v>1087</v>
      </c>
      <c r="P82" t="str">
        <f t="shared" si="2"/>
        <v/>
      </c>
    </row>
    <row r="83" spans="1:16" x14ac:dyDescent="0.25">
      <c r="A83" s="2">
        <v>1</v>
      </c>
      <c r="B83" s="1">
        <v>716844</v>
      </c>
      <c r="C83">
        <v>100</v>
      </c>
      <c r="D83" t="s">
        <v>185</v>
      </c>
      <c r="E83" t="s">
        <v>184</v>
      </c>
      <c r="F83" t="s">
        <v>24</v>
      </c>
      <c r="K83" t="s">
        <v>1087</v>
      </c>
      <c r="L83" t="s">
        <v>1087</v>
      </c>
      <c r="M83" t="s">
        <v>1087</v>
      </c>
      <c r="N83" t="s">
        <v>1087</v>
      </c>
      <c r="P83" t="str">
        <f t="shared" si="2"/>
        <v/>
      </c>
    </row>
    <row r="84" spans="1:16" x14ac:dyDescent="0.25">
      <c r="A84" s="2">
        <v>1</v>
      </c>
      <c r="B84" s="1">
        <v>716863</v>
      </c>
      <c r="C84">
        <v>100</v>
      </c>
      <c r="D84" t="s">
        <v>23</v>
      </c>
      <c r="E84" t="s">
        <v>155</v>
      </c>
      <c r="F84" t="s">
        <v>24</v>
      </c>
      <c r="K84" t="s">
        <v>1087</v>
      </c>
      <c r="L84" t="s">
        <v>1087</v>
      </c>
      <c r="M84" t="s">
        <v>1087</v>
      </c>
      <c r="N84" t="s">
        <v>1087</v>
      </c>
      <c r="P84" t="str">
        <f t="shared" si="2"/>
        <v/>
      </c>
    </row>
    <row r="85" spans="1:16" x14ac:dyDescent="0.25">
      <c r="A85" s="2">
        <v>1</v>
      </c>
      <c r="B85" s="1">
        <v>716958</v>
      </c>
      <c r="C85">
        <v>100</v>
      </c>
      <c r="D85" t="s">
        <v>58</v>
      </c>
      <c r="E85" t="s">
        <v>204</v>
      </c>
      <c r="F85" t="s">
        <v>24</v>
      </c>
      <c r="K85" t="s">
        <v>1087</v>
      </c>
      <c r="L85" t="s">
        <v>1087</v>
      </c>
      <c r="M85" t="s">
        <v>1087</v>
      </c>
      <c r="N85" t="s">
        <v>1087</v>
      </c>
      <c r="P85" t="str">
        <f t="shared" si="2"/>
        <v/>
      </c>
    </row>
    <row r="86" spans="1:16" x14ac:dyDescent="0.25">
      <c r="A86" s="2">
        <v>1</v>
      </c>
      <c r="B86" s="1">
        <v>718556</v>
      </c>
      <c r="C86">
        <v>100</v>
      </c>
      <c r="D86" t="s">
        <v>140</v>
      </c>
      <c r="E86" t="s">
        <v>139</v>
      </c>
      <c r="F86" t="s">
        <v>24</v>
      </c>
      <c r="K86" t="s">
        <v>1087</v>
      </c>
      <c r="L86" t="s">
        <v>1087</v>
      </c>
      <c r="M86" t="s">
        <v>1087</v>
      </c>
      <c r="N86" t="s">
        <v>1087</v>
      </c>
      <c r="P86" t="str">
        <f t="shared" si="2"/>
        <v/>
      </c>
    </row>
    <row r="87" spans="1:16" x14ac:dyDescent="0.25">
      <c r="A87" s="2">
        <v>1</v>
      </c>
      <c r="B87" s="1">
        <v>718928</v>
      </c>
      <c r="C87">
        <v>100</v>
      </c>
      <c r="D87" t="s">
        <v>241</v>
      </c>
      <c r="E87" t="s">
        <v>361</v>
      </c>
      <c r="F87" t="s">
        <v>24</v>
      </c>
      <c r="K87" t="s">
        <v>1087</v>
      </c>
      <c r="L87" t="s">
        <v>1087</v>
      </c>
      <c r="M87" t="s">
        <v>1087</v>
      </c>
      <c r="N87" t="s">
        <v>1087</v>
      </c>
      <c r="P87" t="str">
        <f t="shared" si="2"/>
        <v/>
      </c>
    </row>
    <row r="88" spans="1:16" x14ac:dyDescent="0.25">
      <c r="A88" s="2">
        <v>1</v>
      </c>
      <c r="B88" s="1">
        <v>718929</v>
      </c>
      <c r="C88">
        <v>100</v>
      </c>
      <c r="D88" t="s">
        <v>359</v>
      </c>
      <c r="E88" t="s">
        <v>358</v>
      </c>
      <c r="F88" t="s">
        <v>24</v>
      </c>
      <c r="K88" t="s">
        <v>1087</v>
      </c>
      <c r="L88" t="s">
        <v>1087</v>
      </c>
      <c r="M88" t="s">
        <v>1087</v>
      </c>
      <c r="N88" t="s">
        <v>1087</v>
      </c>
      <c r="P88" t="str">
        <f t="shared" si="2"/>
        <v/>
      </c>
    </row>
    <row r="89" spans="1:16" x14ac:dyDescent="0.25">
      <c r="A89" s="2">
        <v>1</v>
      </c>
      <c r="B89" s="1">
        <v>718930</v>
      </c>
      <c r="C89">
        <v>100</v>
      </c>
      <c r="D89" t="s">
        <v>345</v>
      </c>
      <c r="E89" t="s">
        <v>344</v>
      </c>
      <c r="F89" t="s">
        <v>24</v>
      </c>
      <c r="K89" t="s">
        <v>1087</v>
      </c>
      <c r="L89" t="s">
        <v>1087</v>
      </c>
      <c r="M89" t="s">
        <v>1087</v>
      </c>
      <c r="N89" t="s">
        <v>1087</v>
      </c>
      <c r="P89" t="str">
        <f t="shared" si="2"/>
        <v/>
      </c>
    </row>
    <row r="90" spans="1:16" x14ac:dyDescent="0.25">
      <c r="A90" s="2">
        <v>1</v>
      </c>
      <c r="B90" s="1">
        <v>718931</v>
      </c>
      <c r="C90">
        <v>100</v>
      </c>
      <c r="D90" t="s">
        <v>356</v>
      </c>
      <c r="E90" t="s">
        <v>355</v>
      </c>
      <c r="F90" t="s">
        <v>24</v>
      </c>
      <c r="K90" t="s">
        <v>1087</v>
      </c>
      <c r="L90" t="s">
        <v>1087</v>
      </c>
      <c r="M90" t="s">
        <v>1087</v>
      </c>
      <c r="N90" t="s">
        <v>1087</v>
      </c>
      <c r="P90" t="str">
        <f t="shared" si="2"/>
        <v/>
      </c>
    </row>
    <row r="91" spans="1:16" x14ac:dyDescent="0.25">
      <c r="A91" s="2">
        <v>1</v>
      </c>
      <c r="B91" s="1">
        <v>719168</v>
      </c>
      <c r="C91">
        <v>100</v>
      </c>
      <c r="D91" t="s">
        <v>1097</v>
      </c>
      <c r="E91" t="s">
        <v>26</v>
      </c>
      <c r="F91" t="s">
        <v>24</v>
      </c>
      <c r="K91" t="s">
        <v>1087</v>
      </c>
      <c r="L91" t="s">
        <v>1087</v>
      </c>
      <c r="M91" t="s">
        <v>1087</v>
      </c>
      <c r="N91" t="s">
        <v>1087</v>
      </c>
      <c r="P91" t="str">
        <f t="shared" si="2"/>
        <v/>
      </c>
    </row>
    <row r="92" spans="1:16" x14ac:dyDescent="0.25">
      <c r="A92" s="2">
        <v>1</v>
      </c>
      <c r="B92" s="1">
        <v>719169</v>
      </c>
      <c r="C92">
        <v>100</v>
      </c>
      <c r="D92" t="s">
        <v>30</v>
      </c>
      <c r="E92" t="s">
        <v>29</v>
      </c>
      <c r="F92" t="s">
        <v>24</v>
      </c>
      <c r="K92" t="s">
        <v>1087</v>
      </c>
      <c r="L92" t="s">
        <v>1087</v>
      </c>
      <c r="M92" t="s">
        <v>1087</v>
      </c>
      <c r="N92" t="s">
        <v>1087</v>
      </c>
      <c r="P92" t="str">
        <f t="shared" si="2"/>
        <v/>
      </c>
    </row>
    <row r="93" spans="1:16" x14ac:dyDescent="0.25">
      <c r="A93" s="2">
        <v>1</v>
      </c>
      <c r="B93" s="1">
        <v>720798</v>
      </c>
      <c r="C93">
        <v>70</v>
      </c>
      <c r="D93" t="s">
        <v>1109</v>
      </c>
      <c r="E93" t="s">
        <v>347</v>
      </c>
      <c r="F93" t="s">
        <v>24</v>
      </c>
      <c r="K93" t="s">
        <v>1087</v>
      </c>
      <c r="L93" t="s">
        <v>1087</v>
      </c>
      <c r="M93" t="s">
        <v>1087</v>
      </c>
      <c r="N93" t="s">
        <v>1087</v>
      </c>
      <c r="P93" t="str">
        <f t="shared" si="2"/>
        <v/>
      </c>
    </row>
    <row r="94" spans="1:16" x14ac:dyDescent="0.25">
      <c r="A94" s="2">
        <v>1</v>
      </c>
      <c r="B94" s="1">
        <v>720798</v>
      </c>
      <c r="C94">
        <v>30</v>
      </c>
      <c r="D94" t="s">
        <v>1110</v>
      </c>
      <c r="E94" t="s">
        <v>347</v>
      </c>
      <c r="F94" t="s">
        <v>24</v>
      </c>
      <c r="K94" t="s">
        <v>1087</v>
      </c>
      <c r="L94" t="s">
        <v>1087</v>
      </c>
      <c r="M94" t="s">
        <v>1087</v>
      </c>
      <c r="N94" t="s">
        <v>1087</v>
      </c>
      <c r="P94" t="str">
        <f t="shared" si="2"/>
        <v/>
      </c>
    </row>
    <row r="95" spans="1:16" x14ac:dyDescent="0.25">
      <c r="A95" s="2">
        <v>1</v>
      </c>
      <c r="B95" s="1">
        <v>722285</v>
      </c>
      <c r="C95">
        <v>100</v>
      </c>
      <c r="D95" t="s">
        <v>364</v>
      </c>
      <c r="E95" t="s">
        <v>363</v>
      </c>
      <c r="F95" t="s">
        <v>24</v>
      </c>
      <c r="K95" t="s">
        <v>1087</v>
      </c>
      <c r="L95" t="s">
        <v>1087</v>
      </c>
      <c r="M95" t="s">
        <v>1087</v>
      </c>
      <c r="N95" t="s">
        <v>1087</v>
      </c>
      <c r="P95" t="str">
        <f t="shared" si="2"/>
        <v/>
      </c>
    </row>
    <row r="96" spans="1:16" x14ac:dyDescent="0.25">
      <c r="A96" s="2">
        <v>1</v>
      </c>
      <c r="B96" s="1">
        <v>722394</v>
      </c>
      <c r="C96">
        <v>50</v>
      </c>
      <c r="D96" t="s">
        <v>185</v>
      </c>
      <c r="E96" t="s">
        <v>352</v>
      </c>
      <c r="F96" t="s">
        <v>24</v>
      </c>
      <c r="K96" t="s">
        <v>1087</v>
      </c>
      <c r="L96" t="s">
        <v>1087</v>
      </c>
      <c r="M96" t="s">
        <v>1087</v>
      </c>
      <c r="N96" t="s">
        <v>1087</v>
      </c>
      <c r="P96" t="str">
        <f t="shared" si="2"/>
        <v/>
      </c>
    </row>
    <row r="97" spans="1:16" x14ac:dyDescent="0.25">
      <c r="A97" s="2">
        <v>1</v>
      </c>
      <c r="B97" s="1">
        <v>722394</v>
      </c>
      <c r="C97">
        <v>50</v>
      </c>
      <c r="D97" t="s">
        <v>1111</v>
      </c>
      <c r="E97" t="s">
        <v>352</v>
      </c>
      <c r="F97" t="s">
        <v>24</v>
      </c>
      <c r="K97" t="s">
        <v>1087</v>
      </c>
      <c r="L97" t="s">
        <v>1087</v>
      </c>
      <c r="M97" t="s">
        <v>1087</v>
      </c>
      <c r="N97" t="s">
        <v>1087</v>
      </c>
      <c r="P97" t="str">
        <f t="shared" si="2"/>
        <v/>
      </c>
    </row>
    <row r="98" spans="1:16" x14ac:dyDescent="0.25">
      <c r="A98" s="2">
        <v>1</v>
      </c>
      <c r="B98" s="1">
        <v>722431</v>
      </c>
      <c r="C98">
        <v>100</v>
      </c>
      <c r="D98" t="s">
        <v>272</v>
      </c>
      <c r="E98" t="s">
        <v>350</v>
      </c>
      <c r="F98" t="s">
        <v>24</v>
      </c>
      <c r="K98" t="s">
        <v>1087</v>
      </c>
      <c r="L98" t="s">
        <v>1087</v>
      </c>
      <c r="M98" t="s">
        <v>1087</v>
      </c>
      <c r="N98" t="s">
        <v>1087</v>
      </c>
      <c r="P98" t="str">
        <f t="shared" ref="P98:P129" si="3">IF(K98&lt;&gt;"",N98=D98,"")</f>
        <v/>
      </c>
    </row>
    <row r="99" spans="1:16" x14ac:dyDescent="0.25">
      <c r="A99" s="2">
        <v>1</v>
      </c>
      <c r="B99" s="1">
        <v>724572</v>
      </c>
      <c r="C99">
        <v>100</v>
      </c>
      <c r="D99" t="s">
        <v>371</v>
      </c>
      <c r="E99" t="s">
        <v>370</v>
      </c>
      <c r="F99" t="s">
        <v>24</v>
      </c>
      <c r="K99" t="s">
        <v>1087</v>
      </c>
      <c r="L99" t="s">
        <v>1087</v>
      </c>
      <c r="M99" t="s">
        <v>1087</v>
      </c>
      <c r="N99" t="s">
        <v>1087</v>
      </c>
      <c r="P99" t="str">
        <f t="shared" si="3"/>
        <v/>
      </c>
    </row>
    <row r="100" spans="1:16" x14ac:dyDescent="0.25">
      <c r="A100" s="2">
        <v>1</v>
      </c>
      <c r="B100" s="1">
        <v>724627</v>
      </c>
      <c r="C100">
        <v>100</v>
      </c>
      <c r="D100" t="s">
        <v>374</v>
      </c>
      <c r="E100" t="s">
        <v>373</v>
      </c>
      <c r="F100" t="s">
        <v>24</v>
      </c>
      <c r="K100" t="s">
        <v>1087</v>
      </c>
      <c r="L100" t="s">
        <v>1087</v>
      </c>
      <c r="M100" t="s">
        <v>1087</v>
      </c>
      <c r="N100" t="s">
        <v>1087</v>
      </c>
      <c r="P100" t="str">
        <f t="shared" si="3"/>
        <v/>
      </c>
    </row>
    <row r="101" spans="1:16" x14ac:dyDescent="0.25">
      <c r="A101" s="2">
        <v>1</v>
      </c>
      <c r="B101" s="1">
        <v>724730</v>
      </c>
      <c r="C101">
        <v>100</v>
      </c>
      <c r="D101" t="s">
        <v>324</v>
      </c>
      <c r="E101" t="s">
        <v>381</v>
      </c>
      <c r="F101" t="s">
        <v>24</v>
      </c>
      <c r="K101" t="s">
        <v>1087</v>
      </c>
      <c r="L101" t="s">
        <v>1087</v>
      </c>
      <c r="M101" t="s">
        <v>1087</v>
      </c>
      <c r="N101" t="s">
        <v>1087</v>
      </c>
      <c r="P101" t="str">
        <f t="shared" si="3"/>
        <v/>
      </c>
    </row>
    <row r="102" spans="1:16" x14ac:dyDescent="0.25">
      <c r="A102" s="2">
        <v>1</v>
      </c>
      <c r="B102" s="1">
        <v>724767</v>
      </c>
      <c r="C102">
        <v>100</v>
      </c>
      <c r="D102" t="s">
        <v>324</v>
      </c>
      <c r="E102" t="s">
        <v>379</v>
      </c>
      <c r="F102" t="s">
        <v>24</v>
      </c>
      <c r="K102" t="s">
        <v>1087</v>
      </c>
      <c r="L102" t="s">
        <v>1087</v>
      </c>
      <c r="M102" t="s">
        <v>1087</v>
      </c>
      <c r="N102" t="s">
        <v>1087</v>
      </c>
      <c r="P102" t="str">
        <f t="shared" si="3"/>
        <v/>
      </c>
    </row>
    <row r="103" spans="1:16" x14ac:dyDescent="0.25">
      <c r="A103" s="2">
        <v>1</v>
      </c>
      <c r="B103" s="1" t="s">
        <v>172</v>
      </c>
      <c r="C103">
        <v>100</v>
      </c>
      <c r="D103" t="s">
        <v>174</v>
      </c>
      <c r="E103" t="s">
        <v>173</v>
      </c>
      <c r="F103" t="s">
        <v>20</v>
      </c>
      <c r="G103" t="b">
        <v>0</v>
      </c>
      <c r="K103" t="e">
        <v>#N/A</v>
      </c>
      <c r="L103" t="e">
        <v>#N/A</v>
      </c>
      <c r="M103" t="e">
        <v>#N/A</v>
      </c>
      <c r="N103" t="e">
        <v>#N/A</v>
      </c>
      <c r="P103" t="e">
        <f t="shared" si="3"/>
        <v>#N/A</v>
      </c>
    </row>
    <row r="104" spans="1:16" x14ac:dyDescent="0.25">
      <c r="A104" s="2">
        <v>1</v>
      </c>
      <c r="B104" s="1" t="s">
        <v>322</v>
      </c>
      <c r="C104">
        <v>100</v>
      </c>
      <c r="D104" t="s">
        <v>324</v>
      </c>
      <c r="E104" t="s">
        <v>323</v>
      </c>
      <c r="F104" t="s">
        <v>20</v>
      </c>
      <c r="G104" t="b">
        <v>0</v>
      </c>
      <c r="K104" t="s">
        <v>1112</v>
      </c>
      <c r="L104" t="s">
        <v>289</v>
      </c>
      <c r="M104" t="s">
        <v>833</v>
      </c>
      <c r="N104" t="s">
        <v>1113</v>
      </c>
      <c r="P104" t="b">
        <f t="shared" si="3"/>
        <v>0</v>
      </c>
    </row>
    <row r="105" spans="1:16" s="3" customFormat="1" x14ac:dyDescent="0.25">
      <c r="A105" s="2">
        <v>1</v>
      </c>
      <c r="B105" s="1" t="s">
        <v>366</v>
      </c>
      <c r="C105">
        <v>100</v>
      </c>
      <c r="D105" t="s">
        <v>368</v>
      </c>
      <c r="E105" t="s">
        <v>367</v>
      </c>
      <c r="F105" t="s">
        <v>24</v>
      </c>
      <c r="G105"/>
      <c r="H105"/>
      <c r="I105"/>
      <c r="J105"/>
      <c r="K105" t="s">
        <v>1087</v>
      </c>
      <c r="L105" t="s">
        <v>1087</v>
      </c>
      <c r="M105" t="s">
        <v>1087</v>
      </c>
      <c r="N105" t="s">
        <v>1087</v>
      </c>
      <c r="O105"/>
      <c r="P105" t="str">
        <f t="shared" si="3"/>
        <v/>
      </c>
    </row>
    <row r="106" spans="1:16" x14ac:dyDescent="0.25">
      <c r="A106" s="2">
        <v>1</v>
      </c>
      <c r="B106" s="1" t="s">
        <v>260</v>
      </c>
      <c r="C106">
        <v>100</v>
      </c>
      <c r="D106" t="s">
        <v>262</v>
      </c>
      <c r="E106" t="s">
        <v>261</v>
      </c>
      <c r="F106" t="s">
        <v>24</v>
      </c>
      <c r="K106" t="s">
        <v>1087</v>
      </c>
      <c r="L106" t="s">
        <v>1087</v>
      </c>
      <c r="M106" t="s">
        <v>1087</v>
      </c>
      <c r="N106" t="s">
        <v>1087</v>
      </c>
      <c r="P106" t="str">
        <f t="shared" si="3"/>
        <v/>
      </c>
    </row>
    <row r="107" spans="1:16" x14ac:dyDescent="0.25">
      <c r="A107" s="2">
        <v>1</v>
      </c>
      <c r="B107" s="1" t="s">
        <v>308</v>
      </c>
      <c r="C107">
        <v>100</v>
      </c>
      <c r="D107" t="s">
        <v>310</v>
      </c>
      <c r="E107" t="s">
        <v>309</v>
      </c>
      <c r="F107" t="s">
        <v>24</v>
      </c>
      <c r="K107" t="s">
        <v>1087</v>
      </c>
      <c r="L107" t="s">
        <v>1087</v>
      </c>
      <c r="M107" t="s">
        <v>1087</v>
      </c>
      <c r="N107" t="s">
        <v>1087</v>
      </c>
      <c r="P107" t="str">
        <f t="shared" si="3"/>
        <v/>
      </c>
    </row>
    <row r="108" spans="1:16" x14ac:dyDescent="0.25">
      <c r="A108" s="2">
        <v>1</v>
      </c>
      <c r="B108" s="1" t="s">
        <v>315</v>
      </c>
      <c r="C108">
        <v>100</v>
      </c>
      <c r="D108" t="s">
        <v>317</v>
      </c>
      <c r="E108" t="s">
        <v>316</v>
      </c>
      <c r="F108" t="s">
        <v>24</v>
      </c>
      <c r="K108" t="s">
        <v>1087</v>
      </c>
      <c r="L108" t="s">
        <v>1087</v>
      </c>
      <c r="M108" t="s">
        <v>1087</v>
      </c>
      <c r="N108" t="s">
        <v>1087</v>
      </c>
      <c r="P108" t="str">
        <f t="shared" si="3"/>
        <v/>
      </c>
    </row>
    <row r="109" spans="1:16" x14ac:dyDescent="0.25">
      <c r="A109" s="2">
        <v>1</v>
      </c>
      <c r="B109" s="1" t="s">
        <v>274</v>
      </c>
      <c r="C109">
        <v>100</v>
      </c>
      <c r="D109" t="s">
        <v>1114</v>
      </c>
      <c r="E109" t="s">
        <v>275</v>
      </c>
      <c r="F109" t="s">
        <v>24</v>
      </c>
      <c r="K109" t="s">
        <v>1087</v>
      </c>
      <c r="L109" t="s">
        <v>1087</v>
      </c>
      <c r="M109" t="s">
        <v>1087</v>
      </c>
      <c r="N109" t="s">
        <v>1087</v>
      </c>
      <c r="P109" t="str">
        <f t="shared" si="3"/>
        <v/>
      </c>
    </row>
    <row r="110" spans="1:16" x14ac:dyDescent="0.25">
      <c r="A110" s="2">
        <v>44652</v>
      </c>
      <c r="B110" s="1" t="s">
        <v>274</v>
      </c>
      <c r="C110">
        <v>65</v>
      </c>
      <c r="D110" t="s">
        <v>1115</v>
      </c>
      <c r="E110" t="s">
        <v>275</v>
      </c>
      <c r="F110" t="s">
        <v>24</v>
      </c>
      <c r="K110" t="s">
        <v>1087</v>
      </c>
      <c r="L110" t="s">
        <v>1087</v>
      </c>
      <c r="M110" t="s">
        <v>1087</v>
      </c>
      <c r="N110" t="s">
        <v>1087</v>
      </c>
      <c r="P110" t="str">
        <f t="shared" si="3"/>
        <v/>
      </c>
    </row>
    <row r="111" spans="1:16" x14ac:dyDescent="0.25">
      <c r="A111" s="2">
        <v>44652</v>
      </c>
      <c r="B111" s="1" t="s">
        <v>274</v>
      </c>
      <c r="C111">
        <v>35</v>
      </c>
      <c r="D111" t="s">
        <v>1116</v>
      </c>
      <c r="E111" t="s">
        <v>275</v>
      </c>
      <c r="F111" t="s">
        <v>24</v>
      </c>
      <c r="K111" t="s">
        <v>1087</v>
      </c>
      <c r="L111" t="s">
        <v>1087</v>
      </c>
      <c r="M111" t="s">
        <v>1087</v>
      </c>
      <c r="N111" t="s">
        <v>1087</v>
      </c>
      <c r="P111" t="str">
        <f t="shared" si="3"/>
        <v/>
      </c>
    </row>
    <row r="112" spans="1:16" x14ac:dyDescent="0.25">
      <c r="A112" s="2">
        <v>1</v>
      </c>
      <c r="B112" s="1" t="s">
        <v>333</v>
      </c>
      <c r="C112">
        <v>70</v>
      </c>
      <c r="D112" t="s">
        <v>1117</v>
      </c>
      <c r="E112" t="s">
        <v>334</v>
      </c>
      <c r="F112" t="s">
        <v>20</v>
      </c>
      <c r="G112" t="b">
        <v>1</v>
      </c>
      <c r="K112" t="s">
        <v>1118</v>
      </c>
      <c r="L112" t="s">
        <v>251</v>
      </c>
      <c r="M112" t="s">
        <v>833</v>
      </c>
      <c r="N112" t="s">
        <v>1119</v>
      </c>
      <c r="P112" t="b">
        <f t="shared" si="3"/>
        <v>0</v>
      </c>
    </row>
    <row r="113" spans="1:16" x14ac:dyDescent="0.25">
      <c r="A113" s="2">
        <v>1</v>
      </c>
      <c r="B113" s="1" t="s">
        <v>333</v>
      </c>
      <c r="C113">
        <v>30</v>
      </c>
      <c r="D113" t="s">
        <v>1120</v>
      </c>
      <c r="E113" t="s">
        <v>334</v>
      </c>
      <c r="F113" t="s">
        <v>20</v>
      </c>
      <c r="G113" t="b">
        <v>1</v>
      </c>
      <c r="K113" t="s">
        <v>1118</v>
      </c>
      <c r="L113" t="s">
        <v>251</v>
      </c>
      <c r="M113" t="s">
        <v>833</v>
      </c>
      <c r="N113" t="s">
        <v>1119</v>
      </c>
      <c r="P113" t="b">
        <f t="shared" si="3"/>
        <v>0</v>
      </c>
    </row>
    <row r="114" spans="1:16" x14ac:dyDescent="0.25">
      <c r="A114" s="2">
        <v>1</v>
      </c>
      <c r="B114" t="s">
        <v>248</v>
      </c>
      <c r="C114">
        <v>100</v>
      </c>
      <c r="D114" t="s">
        <v>1121</v>
      </c>
      <c r="E114" t="s">
        <v>250</v>
      </c>
      <c r="F114" t="s">
        <v>20</v>
      </c>
      <c r="G114" t="b">
        <v>0</v>
      </c>
      <c r="I114" s="3"/>
      <c r="J114" s="3"/>
      <c r="K114" t="s">
        <v>1122</v>
      </c>
      <c r="L114" t="s">
        <v>289</v>
      </c>
      <c r="M114" t="s">
        <v>396</v>
      </c>
      <c r="N114" t="s">
        <v>1123</v>
      </c>
      <c r="O114" s="3"/>
      <c r="P114" t="b">
        <f t="shared" si="3"/>
        <v>0</v>
      </c>
    </row>
    <row r="115" spans="1:16" x14ac:dyDescent="0.25">
      <c r="A115" s="2">
        <v>45809</v>
      </c>
      <c r="B115" t="s">
        <v>248</v>
      </c>
      <c r="C115">
        <v>50</v>
      </c>
      <c r="D115" s="11" t="s">
        <v>1124</v>
      </c>
      <c r="E115" t="s">
        <v>250</v>
      </c>
      <c r="F115" t="s">
        <v>20</v>
      </c>
      <c r="G115" t="b">
        <v>1</v>
      </c>
      <c r="H115" t="s">
        <v>1125</v>
      </c>
      <c r="I115" t="s">
        <v>1126</v>
      </c>
      <c r="J115" t="s">
        <v>1127</v>
      </c>
      <c r="K115" t="s">
        <v>1122</v>
      </c>
      <c r="L115" t="s">
        <v>289</v>
      </c>
      <c r="M115" t="s">
        <v>396</v>
      </c>
      <c r="N115" t="s">
        <v>1123</v>
      </c>
      <c r="P115" t="b">
        <f t="shared" si="3"/>
        <v>0</v>
      </c>
    </row>
    <row r="116" spans="1:16" x14ac:dyDescent="0.25">
      <c r="A116" s="2">
        <v>45809</v>
      </c>
      <c r="B116" t="s">
        <v>248</v>
      </c>
      <c r="C116">
        <v>50</v>
      </c>
      <c r="D116" s="11" t="s">
        <v>1123</v>
      </c>
      <c r="E116" t="s">
        <v>250</v>
      </c>
      <c r="F116" t="s">
        <v>20</v>
      </c>
      <c r="G116" t="b">
        <v>1</v>
      </c>
      <c r="H116" t="s">
        <v>1125</v>
      </c>
      <c r="I116" t="s">
        <v>1122</v>
      </c>
      <c r="J116" t="s">
        <v>1127</v>
      </c>
      <c r="K116" t="s">
        <v>1122</v>
      </c>
      <c r="L116" t="s">
        <v>289</v>
      </c>
      <c r="M116" t="s">
        <v>396</v>
      </c>
      <c r="N116" t="s">
        <v>1123</v>
      </c>
      <c r="P116" t="b">
        <f t="shared" si="3"/>
        <v>1</v>
      </c>
    </row>
    <row r="117" spans="1:16" x14ac:dyDescent="0.25">
      <c r="A117" s="2">
        <v>1</v>
      </c>
      <c r="B117" s="1" t="s">
        <v>136</v>
      </c>
      <c r="C117">
        <v>100</v>
      </c>
      <c r="D117" t="s">
        <v>41</v>
      </c>
      <c r="E117" t="s">
        <v>137</v>
      </c>
      <c r="F117" t="s">
        <v>20</v>
      </c>
      <c r="G117" t="b">
        <v>0</v>
      </c>
      <c r="K117" t="s">
        <v>1128</v>
      </c>
      <c r="L117" t="s">
        <v>251</v>
      </c>
      <c r="M117" t="s">
        <v>396</v>
      </c>
      <c r="N117" t="s">
        <v>41</v>
      </c>
      <c r="P117" t="b">
        <f t="shared" si="3"/>
        <v>1</v>
      </c>
    </row>
    <row r="118" spans="1:16" x14ac:dyDescent="0.25">
      <c r="A118" s="2">
        <v>1</v>
      </c>
      <c r="B118" s="1" t="s">
        <v>56</v>
      </c>
      <c r="C118">
        <v>100</v>
      </c>
      <c r="D118" t="s">
        <v>58</v>
      </c>
      <c r="E118" t="s">
        <v>57</v>
      </c>
      <c r="F118" t="s">
        <v>20</v>
      </c>
      <c r="G118" t="b">
        <v>0</v>
      </c>
      <c r="K118" t="s">
        <v>1129</v>
      </c>
      <c r="L118" t="s">
        <v>251</v>
      </c>
      <c r="M118" t="s">
        <v>396</v>
      </c>
      <c r="N118" t="s">
        <v>1130</v>
      </c>
      <c r="P118" t="b">
        <f t="shared" si="3"/>
        <v>0</v>
      </c>
    </row>
    <row r="119" spans="1:16" x14ac:dyDescent="0.25">
      <c r="A119" s="2">
        <v>1</v>
      </c>
      <c r="B119" s="1" t="s">
        <v>52</v>
      </c>
      <c r="C119">
        <v>100</v>
      </c>
      <c r="D119" t="s">
        <v>54</v>
      </c>
      <c r="E119" t="s">
        <v>53</v>
      </c>
      <c r="F119" t="s">
        <v>20</v>
      </c>
      <c r="G119" t="b">
        <v>0</v>
      </c>
      <c r="K119" t="s">
        <v>1129</v>
      </c>
      <c r="L119" t="s">
        <v>289</v>
      </c>
      <c r="M119" t="s">
        <v>396</v>
      </c>
      <c r="N119" t="s">
        <v>1130</v>
      </c>
      <c r="P119" t="b">
        <f t="shared" si="3"/>
        <v>0</v>
      </c>
    </row>
    <row r="120" spans="1:16" x14ac:dyDescent="0.25">
      <c r="A120" s="2">
        <v>1</v>
      </c>
      <c r="B120" s="1" t="s">
        <v>206</v>
      </c>
      <c r="C120">
        <v>100</v>
      </c>
      <c r="D120" t="s">
        <v>67</v>
      </c>
      <c r="E120" t="s">
        <v>207</v>
      </c>
      <c r="F120" t="s">
        <v>20</v>
      </c>
      <c r="G120" t="b">
        <v>0</v>
      </c>
      <c r="K120" t="s">
        <v>1128</v>
      </c>
      <c r="L120" t="s">
        <v>251</v>
      </c>
      <c r="M120" t="s">
        <v>396</v>
      </c>
      <c r="N120" t="s">
        <v>1131</v>
      </c>
      <c r="P120" t="b">
        <f t="shared" si="3"/>
        <v>0</v>
      </c>
    </row>
    <row r="121" spans="1:16" x14ac:dyDescent="0.25">
      <c r="A121" s="2">
        <v>1</v>
      </c>
      <c r="B121" s="1" t="s">
        <v>118</v>
      </c>
      <c r="C121">
        <v>100</v>
      </c>
      <c r="D121" t="s">
        <v>120</v>
      </c>
      <c r="E121" t="s">
        <v>119</v>
      </c>
      <c r="F121" t="s">
        <v>20</v>
      </c>
      <c r="G121" t="b">
        <v>0</v>
      </c>
      <c r="K121" t="s">
        <v>1132</v>
      </c>
      <c r="L121" t="s">
        <v>251</v>
      </c>
      <c r="M121" t="s">
        <v>396</v>
      </c>
      <c r="N121" t="s">
        <v>1133</v>
      </c>
      <c r="P121" t="b">
        <f t="shared" si="3"/>
        <v>0</v>
      </c>
    </row>
    <row r="122" spans="1:16" x14ac:dyDescent="0.25">
      <c r="A122" s="2">
        <v>45809</v>
      </c>
      <c r="B122" t="s">
        <v>118</v>
      </c>
      <c r="C122">
        <v>100</v>
      </c>
      <c r="D122" s="10" t="s">
        <v>1133</v>
      </c>
      <c r="E122" t="s">
        <v>119</v>
      </c>
      <c r="F122" t="s">
        <v>20</v>
      </c>
      <c r="G122" t="b">
        <v>0</v>
      </c>
      <c r="H122" t="s">
        <v>1134</v>
      </c>
      <c r="I122" s="9" t="s">
        <v>1132</v>
      </c>
      <c r="J122" t="s">
        <v>1127</v>
      </c>
      <c r="K122" t="s">
        <v>1132</v>
      </c>
      <c r="L122" t="s">
        <v>251</v>
      </c>
      <c r="M122" t="s">
        <v>396</v>
      </c>
      <c r="N122" t="s">
        <v>1133</v>
      </c>
      <c r="P122" t="b">
        <f t="shared" si="3"/>
        <v>1</v>
      </c>
    </row>
    <row r="123" spans="1:16" x14ac:dyDescent="0.25">
      <c r="A123" s="2">
        <v>1</v>
      </c>
      <c r="B123" s="1" t="s">
        <v>60</v>
      </c>
      <c r="C123">
        <v>50</v>
      </c>
      <c r="D123" t="s">
        <v>120</v>
      </c>
      <c r="E123" t="s">
        <v>61</v>
      </c>
      <c r="F123" t="s">
        <v>20</v>
      </c>
      <c r="G123" t="b">
        <v>1</v>
      </c>
      <c r="K123" t="s">
        <v>1132</v>
      </c>
      <c r="L123" t="s">
        <v>251</v>
      </c>
      <c r="M123" t="s">
        <v>396</v>
      </c>
      <c r="N123" t="s">
        <v>1133</v>
      </c>
      <c r="P123" t="b">
        <f t="shared" si="3"/>
        <v>0</v>
      </c>
    </row>
    <row r="124" spans="1:16" x14ac:dyDescent="0.25">
      <c r="A124" s="2">
        <v>1</v>
      </c>
      <c r="B124" s="1" t="s">
        <v>60</v>
      </c>
      <c r="C124">
        <v>50</v>
      </c>
      <c r="D124" t="s">
        <v>1135</v>
      </c>
      <c r="E124" t="s">
        <v>61</v>
      </c>
      <c r="F124" t="s">
        <v>20</v>
      </c>
      <c r="G124" t="b">
        <v>1</v>
      </c>
      <c r="K124" t="s">
        <v>1132</v>
      </c>
      <c r="L124" t="s">
        <v>251</v>
      </c>
      <c r="M124" t="s">
        <v>396</v>
      </c>
      <c r="N124" t="s">
        <v>1133</v>
      </c>
      <c r="P124" t="b">
        <f t="shared" si="3"/>
        <v>0</v>
      </c>
    </row>
    <row r="125" spans="1:16" x14ac:dyDescent="0.25">
      <c r="A125" s="2">
        <v>45809</v>
      </c>
      <c r="B125" t="s">
        <v>60</v>
      </c>
      <c r="C125">
        <v>100</v>
      </c>
      <c r="D125" s="10" t="s">
        <v>1133</v>
      </c>
      <c r="E125" t="s">
        <v>61</v>
      </c>
      <c r="F125" t="s">
        <v>20</v>
      </c>
      <c r="G125" t="b">
        <v>0</v>
      </c>
      <c r="H125" t="s">
        <v>1134</v>
      </c>
      <c r="I125" s="9" t="s">
        <v>1132</v>
      </c>
      <c r="J125" t="s">
        <v>1127</v>
      </c>
      <c r="K125" t="s">
        <v>1132</v>
      </c>
      <c r="L125" t="s">
        <v>251</v>
      </c>
      <c r="M125" t="s">
        <v>396</v>
      </c>
      <c r="N125" t="s">
        <v>1133</v>
      </c>
      <c r="P125" t="b">
        <f t="shared" si="3"/>
        <v>1</v>
      </c>
    </row>
    <row r="126" spans="1:16" x14ac:dyDescent="0.25">
      <c r="A126" s="2">
        <v>1</v>
      </c>
      <c r="B126" s="1" t="s">
        <v>256</v>
      </c>
      <c r="C126">
        <v>100</v>
      </c>
      <c r="D126" t="s">
        <v>258</v>
      </c>
      <c r="E126" t="s">
        <v>257</v>
      </c>
      <c r="F126" t="s">
        <v>20</v>
      </c>
      <c r="G126" t="b">
        <v>0</v>
      </c>
      <c r="K126" t="s">
        <v>1126</v>
      </c>
      <c r="L126" t="s">
        <v>251</v>
      </c>
      <c r="M126" t="s">
        <v>396</v>
      </c>
      <c r="N126" t="s">
        <v>1124</v>
      </c>
      <c r="P126" t="b">
        <f t="shared" si="3"/>
        <v>0</v>
      </c>
    </row>
    <row r="127" spans="1:16" x14ac:dyDescent="0.25">
      <c r="A127" s="2">
        <v>1</v>
      </c>
      <c r="B127" s="1" t="s">
        <v>326</v>
      </c>
      <c r="C127">
        <v>100</v>
      </c>
      <c r="D127" t="s">
        <v>324</v>
      </c>
      <c r="E127" t="s">
        <v>327</v>
      </c>
      <c r="F127" t="s">
        <v>20</v>
      </c>
      <c r="G127" t="b">
        <v>0</v>
      </c>
      <c r="K127" t="s">
        <v>1112</v>
      </c>
      <c r="L127" t="s">
        <v>289</v>
      </c>
      <c r="M127" t="s">
        <v>833</v>
      </c>
      <c r="N127" t="s">
        <v>1113</v>
      </c>
      <c r="P127" t="b">
        <f t="shared" si="3"/>
        <v>0</v>
      </c>
    </row>
    <row r="128" spans="1:16" x14ac:dyDescent="0.25">
      <c r="A128" s="2">
        <v>1</v>
      </c>
      <c r="B128" s="1" t="s">
        <v>229</v>
      </c>
      <c r="C128">
        <v>100</v>
      </c>
      <c r="D128" t="s">
        <v>120</v>
      </c>
      <c r="E128" t="s">
        <v>230</v>
      </c>
      <c r="F128" t="s">
        <v>20</v>
      </c>
      <c r="G128" t="b">
        <v>0</v>
      </c>
      <c r="K128" t="s">
        <v>1132</v>
      </c>
      <c r="L128" t="s">
        <v>251</v>
      </c>
      <c r="M128" t="s">
        <v>396</v>
      </c>
      <c r="N128" t="s">
        <v>1133</v>
      </c>
      <c r="P128" t="b">
        <f t="shared" si="3"/>
        <v>0</v>
      </c>
    </row>
    <row r="129" spans="1:16" x14ac:dyDescent="0.25">
      <c r="A129" s="2">
        <v>45809</v>
      </c>
      <c r="B129" t="s">
        <v>229</v>
      </c>
      <c r="C129">
        <v>100</v>
      </c>
      <c r="D129" s="10" t="s">
        <v>1133</v>
      </c>
      <c r="E129" t="s">
        <v>230</v>
      </c>
      <c r="F129" t="s">
        <v>20</v>
      </c>
      <c r="G129" t="b">
        <v>0</v>
      </c>
      <c r="H129" t="s">
        <v>1134</v>
      </c>
      <c r="I129" s="9" t="s">
        <v>1132</v>
      </c>
      <c r="J129" t="s">
        <v>1127</v>
      </c>
      <c r="K129" t="s">
        <v>1132</v>
      </c>
      <c r="L129" t="s">
        <v>251</v>
      </c>
      <c r="M129" t="s">
        <v>396</v>
      </c>
      <c r="N129" t="s">
        <v>1133</v>
      </c>
      <c r="P129" t="b">
        <f t="shared" si="3"/>
        <v>1</v>
      </c>
    </row>
    <row r="130" spans="1:16" x14ac:dyDescent="0.25">
      <c r="A130" s="2">
        <v>1</v>
      </c>
      <c r="B130" s="1" t="s">
        <v>376</v>
      </c>
      <c r="C130">
        <v>100</v>
      </c>
      <c r="D130" t="s">
        <v>129</v>
      </c>
      <c r="E130" t="s">
        <v>377</v>
      </c>
      <c r="F130" t="s">
        <v>20</v>
      </c>
      <c r="G130" t="b">
        <v>0</v>
      </c>
      <c r="K130" t="s">
        <v>1136</v>
      </c>
      <c r="L130" t="s">
        <v>251</v>
      </c>
      <c r="M130" t="s">
        <v>396</v>
      </c>
      <c r="N130" t="s">
        <v>129</v>
      </c>
      <c r="P130" t="b">
        <f t="shared" ref="P130:P151" si="4">IF(K130&lt;&gt;"",N130=D130,"")</f>
        <v>1</v>
      </c>
    </row>
    <row r="131" spans="1:16" x14ac:dyDescent="0.25">
      <c r="A131" s="2">
        <v>1</v>
      </c>
      <c r="B131" s="1" t="s">
        <v>340</v>
      </c>
      <c r="C131">
        <v>100</v>
      </c>
      <c r="D131" t="s">
        <v>342</v>
      </c>
      <c r="E131" t="s">
        <v>341</v>
      </c>
      <c r="F131" t="s">
        <v>20</v>
      </c>
      <c r="G131" t="b">
        <v>0</v>
      </c>
      <c r="K131" t="s">
        <v>1126</v>
      </c>
      <c r="L131" t="s">
        <v>289</v>
      </c>
      <c r="M131" t="s">
        <v>396</v>
      </c>
      <c r="N131" t="s">
        <v>1124</v>
      </c>
      <c r="P131" t="b">
        <f t="shared" si="4"/>
        <v>0</v>
      </c>
    </row>
    <row r="132" spans="1:16" x14ac:dyDescent="0.25">
      <c r="A132" s="2">
        <v>45809</v>
      </c>
      <c r="B132" t="s">
        <v>340</v>
      </c>
      <c r="C132">
        <v>100</v>
      </c>
      <c r="D132" s="11" t="s">
        <v>1124</v>
      </c>
      <c r="E132" t="s">
        <v>341</v>
      </c>
      <c r="F132" t="s">
        <v>20</v>
      </c>
      <c r="G132" t="b">
        <v>0</v>
      </c>
      <c r="H132" t="s">
        <v>1125</v>
      </c>
      <c r="I132" t="s">
        <v>1126</v>
      </c>
      <c r="J132" t="s">
        <v>1127</v>
      </c>
      <c r="K132" t="s">
        <v>1126</v>
      </c>
      <c r="L132" t="s">
        <v>289</v>
      </c>
      <c r="M132" t="s">
        <v>396</v>
      </c>
      <c r="N132" t="s">
        <v>1124</v>
      </c>
      <c r="P132" t="b">
        <f t="shared" si="4"/>
        <v>1</v>
      </c>
    </row>
    <row r="133" spans="1:16" x14ac:dyDescent="0.25">
      <c r="A133" s="2">
        <v>1</v>
      </c>
      <c r="B133" s="1" t="s">
        <v>329</v>
      </c>
      <c r="C133">
        <v>100</v>
      </c>
      <c r="D133" t="s">
        <v>331</v>
      </c>
      <c r="E133" t="s">
        <v>330</v>
      </c>
      <c r="F133" t="s">
        <v>20</v>
      </c>
      <c r="G133" t="b">
        <v>0</v>
      </c>
      <c r="K133" t="s">
        <v>1137</v>
      </c>
      <c r="L133" t="s">
        <v>251</v>
      </c>
      <c r="M133" t="s">
        <v>833</v>
      </c>
      <c r="N133" t="s">
        <v>1138</v>
      </c>
      <c r="P133" t="b">
        <f t="shared" si="4"/>
        <v>0</v>
      </c>
    </row>
    <row r="134" spans="1:16" x14ac:dyDescent="0.25">
      <c r="A134" s="2">
        <v>1</v>
      </c>
      <c r="B134" s="1" t="s">
        <v>281</v>
      </c>
      <c r="C134">
        <v>80</v>
      </c>
      <c r="D134" t="s">
        <v>1139</v>
      </c>
      <c r="E134" t="s">
        <v>282</v>
      </c>
      <c r="F134" t="s">
        <v>20</v>
      </c>
      <c r="G134" t="b">
        <v>1</v>
      </c>
      <c r="K134" t="e">
        <v>#N/A</v>
      </c>
      <c r="L134" t="e">
        <v>#N/A</v>
      </c>
      <c r="M134" t="e">
        <v>#N/A</v>
      </c>
      <c r="N134" t="e">
        <v>#N/A</v>
      </c>
      <c r="P134" t="e">
        <f t="shared" si="4"/>
        <v>#N/A</v>
      </c>
    </row>
    <row r="135" spans="1:16" x14ac:dyDescent="0.25">
      <c r="A135" s="2">
        <v>1</v>
      </c>
      <c r="B135" s="1" t="s">
        <v>281</v>
      </c>
      <c r="C135">
        <v>20</v>
      </c>
      <c r="D135" t="s">
        <v>1140</v>
      </c>
      <c r="E135" t="s">
        <v>282</v>
      </c>
      <c r="F135" t="s">
        <v>20</v>
      </c>
      <c r="G135" t="b">
        <v>1</v>
      </c>
      <c r="K135" t="e">
        <v>#N/A</v>
      </c>
      <c r="L135" t="e">
        <v>#N/A</v>
      </c>
      <c r="M135" t="e">
        <v>#N/A</v>
      </c>
      <c r="N135" t="e">
        <v>#N/A</v>
      </c>
      <c r="P135" t="e">
        <f t="shared" si="4"/>
        <v>#N/A</v>
      </c>
    </row>
    <row r="136" spans="1:16" x14ac:dyDescent="0.25">
      <c r="A136" s="2">
        <v>1</v>
      </c>
      <c r="B136" s="1" t="s">
        <v>264</v>
      </c>
      <c r="C136">
        <v>100</v>
      </c>
      <c r="D136" t="s">
        <v>266</v>
      </c>
      <c r="E136" t="s">
        <v>265</v>
      </c>
      <c r="F136" t="s">
        <v>20</v>
      </c>
      <c r="G136" t="b">
        <v>0</v>
      </c>
      <c r="K136" t="s">
        <v>1141</v>
      </c>
      <c r="L136" t="s">
        <v>251</v>
      </c>
      <c r="M136" t="s">
        <v>396</v>
      </c>
      <c r="N136" t="s">
        <v>1142</v>
      </c>
      <c r="P136" t="b">
        <f t="shared" si="4"/>
        <v>0</v>
      </c>
    </row>
    <row r="137" spans="1:16" x14ac:dyDescent="0.25">
      <c r="A137" s="2">
        <v>45809</v>
      </c>
      <c r="B137" t="s">
        <v>264</v>
      </c>
      <c r="C137">
        <v>100</v>
      </c>
      <c r="D137" s="11" t="s">
        <v>1142</v>
      </c>
      <c r="E137" t="s">
        <v>265</v>
      </c>
      <c r="F137" t="s">
        <v>20</v>
      </c>
      <c r="G137" t="b">
        <v>0</v>
      </c>
      <c r="H137" t="s">
        <v>1125</v>
      </c>
      <c r="I137" t="s">
        <v>1141</v>
      </c>
      <c r="J137" t="s">
        <v>1127</v>
      </c>
      <c r="K137" t="s">
        <v>1141</v>
      </c>
      <c r="L137" t="s">
        <v>251</v>
      </c>
      <c r="M137" t="s">
        <v>396</v>
      </c>
      <c r="N137" t="s">
        <v>1142</v>
      </c>
      <c r="P137" t="b">
        <f t="shared" si="4"/>
        <v>1</v>
      </c>
    </row>
    <row r="138" spans="1:16" x14ac:dyDescent="0.25">
      <c r="A138" s="2">
        <v>1</v>
      </c>
      <c r="B138" s="1" t="s">
        <v>124</v>
      </c>
      <c r="C138">
        <v>100</v>
      </c>
      <c r="D138" t="s">
        <v>1143</v>
      </c>
      <c r="E138" t="s">
        <v>125</v>
      </c>
      <c r="F138" t="s">
        <v>20</v>
      </c>
      <c r="G138" t="b">
        <v>0</v>
      </c>
      <c r="K138" t="s">
        <v>1144</v>
      </c>
      <c r="L138" t="s">
        <v>289</v>
      </c>
      <c r="M138" t="s">
        <v>396</v>
      </c>
      <c r="N138" t="s">
        <v>1143</v>
      </c>
      <c r="P138" t="b">
        <f t="shared" si="4"/>
        <v>1</v>
      </c>
    </row>
    <row r="139" spans="1:16" x14ac:dyDescent="0.25">
      <c r="A139" s="2">
        <v>1</v>
      </c>
      <c r="B139" s="1" t="s">
        <v>298</v>
      </c>
      <c r="C139">
        <v>75</v>
      </c>
      <c r="D139" t="s">
        <v>1145</v>
      </c>
      <c r="E139" t="s">
        <v>299</v>
      </c>
      <c r="F139" t="s">
        <v>20</v>
      </c>
      <c r="G139" t="b">
        <v>1</v>
      </c>
      <c r="K139" t="s">
        <v>1146</v>
      </c>
      <c r="L139" t="s">
        <v>289</v>
      </c>
      <c r="M139" t="s">
        <v>396</v>
      </c>
      <c r="N139" t="s">
        <v>1147</v>
      </c>
      <c r="P139" t="b">
        <f t="shared" si="4"/>
        <v>0</v>
      </c>
    </row>
    <row r="140" spans="1:16" x14ac:dyDescent="0.25">
      <c r="A140" s="2">
        <v>1</v>
      </c>
      <c r="B140" s="1" t="s">
        <v>298</v>
      </c>
      <c r="C140">
        <v>25</v>
      </c>
      <c r="D140" t="s">
        <v>1148</v>
      </c>
      <c r="E140" t="s">
        <v>299</v>
      </c>
      <c r="F140" t="s">
        <v>20</v>
      </c>
      <c r="G140" t="b">
        <v>1</v>
      </c>
      <c r="K140" t="s">
        <v>1146</v>
      </c>
      <c r="L140" t="s">
        <v>289</v>
      </c>
      <c r="M140" t="s">
        <v>396</v>
      </c>
      <c r="N140" t="s">
        <v>1147</v>
      </c>
      <c r="P140" t="b">
        <f t="shared" si="4"/>
        <v>0</v>
      </c>
    </row>
    <row r="141" spans="1:16" x14ac:dyDescent="0.25">
      <c r="A141" s="2">
        <v>45809</v>
      </c>
      <c r="B141" t="s">
        <v>298</v>
      </c>
      <c r="C141">
        <v>55</v>
      </c>
      <c r="D141" s="11" t="s">
        <v>1149</v>
      </c>
      <c r="E141" t="s">
        <v>299</v>
      </c>
      <c r="F141" t="s">
        <v>20</v>
      </c>
      <c r="G141" t="b">
        <v>1</v>
      </c>
      <c r="H141" t="s">
        <v>1125</v>
      </c>
      <c r="I141" s="11" t="s">
        <v>1150</v>
      </c>
      <c r="J141" t="s">
        <v>1127</v>
      </c>
      <c r="K141" t="s">
        <v>1146</v>
      </c>
      <c r="L141" t="s">
        <v>289</v>
      </c>
      <c r="M141" t="s">
        <v>396</v>
      </c>
      <c r="N141" t="s">
        <v>1147</v>
      </c>
      <c r="P141" t="b">
        <f t="shared" si="4"/>
        <v>0</v>
      </c>
    </row>
    <row r="142" spans="1:16" x14ac:dyDescent="0.25">
      <c r="A142" s="2">
        <v>45809</v>
      </c>
      <c r="B142" t="s">
        <v>298</v>
      </c>
      <c r="C142">
        <v>45</v>
      </c>
      <c r="D142" s="11" t="s">
        <v>1124</v>
      </c>
      <c r="E142" t="s">
        <v>299</v>
      </c>
      <c r="F142" t="s">
        <v>20</v>
      </c>
      <c r="G142" t="b">
        <v>1</v>
      </c>
      <c r="H142" t="s">
        <v>1125</v>
      </c>
      <c r="I142" t="s">
        <v>1126</v>
      </c>
      <c r="J142" t="s">
        <v>1127</v>
      </c>
      <c r="K142" t="s">
        <v>1146</v>
      </c>
      <c r="L142" t="s">
        <v>289</v>
      </c>
      <c r="M142" t="s">
        <v>396</v>
      </c>
      <c r="N142" t="s">
        <v>1147</v>
      </c>
      <c r="P142" t="b">
        <f t="shared" si="4"/>
        <v>0</v>
      </c>
    </row>
    <row r="143" spans="1:16" x14ac:dyDescent="0.25">
      <c r="A143" s="2">
        <v>1</v>
      </c>
      <c r="B143" s="1" t="s">
        <v>32</v>
      </c>
      <c r="C143">
        <v>100</v>
      </c>
      <c r="D143" t="s">
        <v>34</v>
      </c>
      <c r="E143" t="s">
        <v>33</v>
      </c>
      <c r="F143" t="s">
        <v>20</v>
      </c>
      <c r="G143" t="b">
        <v>0</v>
      </c>
      <c r="K143" t="s">
        <v>1151</v>
      </c>
      <c r="L143" t="s">
        <v>251</v>
      </c>
      <c r="M143" t="s">
        <v>396</v>
      </c>
      <c r="N143" t="s">
        <v>1086</v>
      </c>
      <c r="P143" t="b">
        <f t="shared" si="4"/>
        <v>0</v>
      </c>
    </row>
    <row r="144" spans="1:16" x14ac:dyDescent="0.25">
      <c r="A144" s="2">
        <v>1</v>
      </c>
      <c r="B144" s="1" t="s">
        <v>291</v>
      </c>
      <c r="C144">
        <v>70</v>
      </c>
      <c r="D144" t="s">
        <v>1152</v>
      </c>
      <c r="E144" t="s">
        <v>292</v>
      </c>
      <c r="F144" t="s">
        <v>20</v>
      </c>
      <c r="G144" t="b">
        <v>1</v>
      </c>
      <c r="K144" t="s">
        <v>1118</v>
      </c>
      <c r="L144" t="s">
        <v>251</v>
      </c>
      <c r="M144" t="s">
        <v>396</v>
      </c>
      <c r="N144" t="s">
        <v>1119</v>
      </c>
      <c r="P144" t="b">
        <f t="shared" si="4"/>
        <v>0</v>
      </c>
    </row>
    <row r="145" spans="1:16" x14ac:dyDescent="0.25">
      <c r="A145" s="2">
        <v>1</v>
      </c>
      <c r="B145" s="1" t="s">
        <v>291</v>
      </c>
      <c r="C145">
        <v>30</v>
      </c>
      <c r="D145" t="s">
        <v>1153</v>
      </c>
      <c r="E145" t="s">
        <v>292</v>
      </c>
      <c r="F145" t="s">
        <v>20</v>
      </c>
      <c r="G145" t="b">
        <v>1</v>
      </c>
      <c r="K145" t="s">
        <v>1118</v>
      </c>
      <c r="L145" t="s">
        <v>251</v>
      </c>
      <c r="M145" t="s">
        <v>396</v>
      </c>
      <c r="N145" t="s">
        <v>1119</v>
      </c>
      <c r="P145" t="b">
        <f t="shared" si="4"/>
        <v>0</v>
      </c>
    </row>
    <row r="146" spans="1:16" x14ac:dyDescent="0.25">
      <c r="A146" s="2">
        <v>1</v>
      </c>
      <c r="B146" s="1" t="s">
        <v>157</v>
      </c>
      <c r="C146">
        <v>100</v>
      </c>
      <c r="D146" t="s">
        <v>19</v>
      </c>
      <c r="E146" t="s">
        <v>158</v>
      </c>
      <c r="F146" t="s">
        <v>20</v>
      </c>
      <c r="G146" t="b">
        <v>0</v>
      </c>
      <c r="K146" t="s">
        <v>1154</v>
      </c>
      <c r="L146" t="s">
        <v>251</v>
      </c>
      <c r="M146" t="s">
        <v>396</v>
      </c>
      <c r="N146" t="s">
        <v>19</v>
      </c>
      <c r="P146" t="b">
        <f t="shared" si="4"/>
        <v>1</v>
      </c>
    </row>
    <row r="147" spans="1:16" x14ac:dyDescent="0.25">
      <c r="A147" s="2">
        <v>1</v>
      </c>
      <c r="B147" s="1" t="s">
        <v>165</v>
      </c>
      <c r="C147">
        <v>100</v>
      </c>
      <c r="D147" t="s">
        <v>167</v>
      </c>
      <c r="E147" t="s">
        <v>166</v>
      </c>
      <c r="F147" t="s">
        <v>20</v>
      </c>
      <c r="G147" t="b">
        <v>0</v>
      </c>
      <c r="K147" t="s">
        <v>1155</v>
      </c>
      <c r="L147" t="s">
        <v>251</v>
      </c>
      <c r="M147" t="s">
        <v>396</v>
      </c>
      <c r="N147" t="s">
        <v>1156</v>
      </c>
      <c r="P147" t="b">
        <f t="shared" si="4"/>
        <v>0</v>
      </c>
    </row>
    <row r="148" spans="1:16" x14ac:dyDescent="0.25">
      <c r="A148" s="2">
        <v>1</v>
      </c>
      <c r="B148" s="1" t="s">
        <v>162</v>
      </c>
      <c r="C148">
        <v>100</v>
      </c>
      <c r="D148" t="s">
        <v>129</v>
      </c>
      <c r="E148" t="s">
        <v>163</v>
      </c>
      <c r="F148" t="s">
        <v>20</v>
      </c>
      <c r="G148" t="b">
        <v>0</v>
      </c>
      <c r="K148" t="s">
        <v>1136</v>
      </c>
      <c r="L148" t="s">
        <v>289</v>
      </c>
      <c r="M148" t="s">
        <v>396</v>
      </c>
      <c r="N148" t="s">
        <v>129</v>
      </c>
      <c r="P148" t="b">
        <f t="shared" si="4"/>
        <v>1</v>
      </c>
    </row>
    <row r="149" spans="1:16" x14ac:dyDescent="0.25">
      <c r="A149" s="2">
        <v>1</v>
      </c>
      <c r="B149" s="1" t="s">
        <v>192</v>
      </c>
      <c r="C149">
        <v>100</v>
      </c>
      <c r="D149" t="s">
        <v>194</v>
      </c>
      <c r="E149" t="s">
        <v>193</v>
      </c>
      <c r="F149" t="s">
        <v>20</v>
      </c>
      <c r="G149" t="b">
        <v>0</v>
      </c>
      <c r="K149" t="s">
        <v>1157</v>
      </c>
      <c r="L149" t="s">
        <v>251</v>
      </c>
      <c r="M149" t="s">
        <v>396</v>
      </c>
      <c r="N149" t="s">
        <v>47</v>
      </c>
      <c r="P149" t="b">
        <f t="shared" si="4"/>
        <v>0</v>
      </c>
    </row>
    <row r="150" spans="1:16" x14ac:dyDescent="0.25">
      <c r="A150" s="2">
        <v>1</v>
      </c>
      <c r="B150" s="1" t="s">
        <v>78</v>
      </c>
      <c r="C150">
        <v>100</v>
      </c>
      <c r="D150" t="s">
        <v>80</v>
      </c>
      <c r="E150" t="s">
        <v>79</v>
      </c>
      <c r="F150" t="s">
        <v>20</v>
      </c>
      <c r="G150" t="b">
        <v>0</v>
      </c>
      <c r="K150" t="s">
        <v>1158</v>
      </c>
      <c r="L150" t="s">
        <v>251</v>
      </c>
      <c r="M150" t="s">
        <v>396</v>
      </c>
      <c r="N150" t="s">
        <v>1159</v>
      </c>
      <c r="P150" t="b">
        <f t="shared" si="4"/>
        <v>0</v>
      </c>
    </row>
    <row r="151" spans="1:16" x14ac:dyDescent="0.25">
      <c r="A151" s="2">
        <v>1</v>
      </c>
      <c r="B151" s="1" t="s">
        <v>90</v>
      </c>
      <c r="C151">
        <v>100</v>
      </c>
      <c r="D151" t="s">
        <v>92</v>
      </c>
      <c r="E151" t="s">
        <v>91</v>
      </c>
      <c r="F151" t="s">
        <v>20</v>
      </c>
      <c r="G151" t="b">
        <v>0</v>
      </c>
      <c r="K151" t="e">
        <v>#N/A</v>
      </c>
      <c r="L151" t="e">
        <v>#N/A</v>
      </c>
      <c r="M151" t="e">
        <v>#N/A</v>
      </c>
      <c r="N151" t="e">
        <v>#N/A</v>
      </c>
      <c r="P151" t="e">
        <f t="shared" si="4"/>
        <v>#N/A</v>
      </c>
    </row>
    <row r="152" spans="1:16" x14ac:dyDescent="0.25">
      <c r="A152" s="2">
        <v>1</v>
      </c>
      <c r="B152" s="1" t="s">
        <v>286</v>
      </c>
      <c r="C152">
        <v>100</v>
      </c>
      <c r="D152" t="s">
        <v>288</v>
      </c>
      <c r="E152" t="s">
        <v>287</v>
      </c>
      <c r="F152" t="s">
        <v>20</v>
      </c>
      <c r="G152" t="b">
        <v>0</v>
      </c>
      <c r="K152" t="s">
        <v>1160</v>
      </c>
      <c r="L152" t="s">
        <v>289</v>
      </c>
      <c r="M152" t="s">
        <v>396</v>
      </c>
      <c r="N152" t="s">
        <v>1161</v>
      </c>
      <c r="P152" t="b">
        <v>1</v>
      </c>
    </row>
    <row r="153" spans="1:16" x14ac:dyDescent="0.25">
      <c r="A153" s="2">
        <v>1</v>
      </c>
      <c r="B153" s="1" t="s">
        <v>200</v>
      </c>
      <c r="C153">
        <v>50</v>
      </c>
      <c r="D153" t="s">
        <v>1162</v>
      </c>
      <c r="E153" t="s">
        <v>201</v>
      </c>
      <c r="F153" t="s">
        <v>20</v>
      </c>
      <c r="G153" t="b">
        <v>1</v>
      </c>
      <c r="K153" t="s">
        <v>1128</v>
      </c>
      <c r="L153" t="s">
        <v>251</v>
      </c>
      <c r="M153" t="s">
        <v>396</v>
      </c>
      <c r="N153" t="s">
        <v>1131</v>
      </c>
      <c r="P153" t="b">
        <f t="shared" ref="P153:P163" si="5">IF(K153&lt;&gt;"",N153=D153,"")</f>
        <v>0</v>
      </c>
    </row>
    <row r="154" spans="1:16" x14ac:dyDescent="0.25">
      <c r="A154" s="2">
        <v>1</v>
      </c>
      <c r="B154" s="1" t="s">
        <v>200</v>
      </c>
      <c r="C154">
        <v>50</v>
      </c>
      <c r="D154" t="s">
        <v>1163</v>
      </c>
      <c r="E154" t="s">
        <v>201</v>
      </c>
      <c r="F154" t="s">
        <v>20</v>
      </c>
      <c r="G154" t="b">
        <v>1</v>
      </c>
      <c r="K154" t="s">
        <v>1128</v>
      </c>
      <c r="L154" t="s">
        <v>251</v>
      </c>
      <c r="M154" t="s">
        <v>396</v>
      </c>
      <c r="N154" t="s">
        <v>1131</v>
      </c>
      <c r="P154" t="b">
        <f t="shared" si="5"/>
        <v>0</v>
      </c>
    </row>
    <row r="155" spans="1:16" x14ac:dyDescent="0.25">
      <c r="A155" s="2">
        <v>1</v>
      </c>
      <c r="B155" s="1" t="s">
        <v>36</v>
      </c>
      <c r="C155">
        <v>100</v>
      </c>
      <c r="D155" t="s">
        <v>38</v>
      </c>
      <c r="E155" t="s">
        <v>37</v>
      </c>
      <c r="F155" t="s">
        <v>20</v>
      </c>
      <c r="G155" t="b">
        <v>0</v>
      </c>
      <c r="K155" t="s">
        <v>1164</v>
      </c>
      <c r="L155" t="s">
        <v>251</v>
      </c>
      <c r="M155" t="s">
        <v>396</v>
      </c>
      <c r="N155" t="s">
        <v>1165</v>
      </c>
      <c r="P155" t="b">
        <f t="shared" si="5"/>
        <v>0</v>
      </c>
    </row>
    <row r="156" spans="1:16" x14ac:dyDescent="0.25">
      <c r="A156" s="2">
        <v>1</v>
      </c>
      <c r="B156" s="1" t="s">
        <v>98</v>
      </c>
      <c r="C156">
        <v>100</v>
      </c>
      <c r="D156" t="s">
        <v>23</v>
      </c>
      <c r="E156" t="s">
        <v>99</v>
      </c>
      <c r="F156" t="s">
        <v>20</v>
      </c>
      <c r="G156" t="b">
        <v>0</v>
      </c>
      <c r="K156" t="s">
        <v>1166</v>
      </c>
      <c r="L156" t="s">
        <v>251</v>
      </c>
      <c r="M156" t="s">
        <v>396</v>
      </c>
      <c r="N156" t="s">
        <v>23</v>
      </c>
      <c r="P156" t="b">
        <f t="shared" si="5"/>
        <v>1</v>
      </c>
    </row>
    <row r="157" spans="1:16" x14ac:dyDescent="0.25">
      <c r="A157" s="2">
        <v>1</v>
      </c>
      <c r="B157" s="1" t="s">
        <v>101</v>
      </c>
      <c r="C157">
        <v>100</v>
      </c>
      <c r="D157" t="s">
        <v>103</v>
      </c>
      <c r="E157" t="s">
        <v>102</v>
      </c>
      <c r="F157" t="s">
        <v>20</v>
      </c>
      <c r="G157" t="b">
        <v>0</v>
      </c>
      <c r="K157" t="e">
        <v>#N/A</v>
      </c>
      <c r="L157" t="e">
        <v>#N/A</v>
      </c>
      <c r="M157" t="e">
        <v>#N/A</v>
      </c>
      <c r="N157" t="e">
        <v>#N/A</v>
      </c>
      <c r="P157" t="e">
        <f t="shared" si="5"/>
        <v>#N/A</v>
      </c>
    </row>
    <row r="158" spans="1:16" x14ac:dyDescent="0.25">
      <c r="A158" s="2">
        <v>1</v>
      </c>
      <c r="B158" s="1" t="s">
        <v>106</v>
      </c>
      <c r="C158">
        <v>100</v>
      </c>
      <c r="D158" t="s">
        <v>23</v>
      </c>
      <c r="E158" t="s">
        <v>107</v>
      </c>
      <c r="F158" t="s">
        <v>20</v>
      </c>
      <c r="G158" t="b">
        <v>0</v>
      </c>
      <c r="K158" t="s">
        <v>1166</v>
      </c>
      <c r="L158" t="s">
        <v>251</v>
      </c>
      <c r="M158" t="s">
        <v>396</v>
      </c>
      <c r="N158" t="s">
        <v>23</v>
      </c>
      <c r="P158" t="b">
        <f t="shared" si="5"/>
        <v>1</v>
      </c>
    </row>
    <row r="159" spans="1:16" x14ac:dyDescent="0.25">
      <c r="A159" s="2">
        <v>1</v>
      </c>
      <c r="B159" s="1" t="s">
        <v>109</v>
      </c>
      <c r="C159">
        <v>100</v>
      </c>
      <c r="D159" t="s">
        <v>34</v>
      </c>
      <c r="E159" t="s">
        <v>110</v>
      </c>
      <c r="F159" t="s">
        <v>20</v>
      </c>
      <c r="G159" t="b">
        <v>0</v>
      </c>
      <c r="K159" t="s">
        <v>1151</v>
      </c>
      <c r="L159" t="s">
        <v>251</v>
      </c>
      <c r="M159" t="s">
        <v>396</v>
      </c>
      <c r="N159" t="s">
        <v>1086</v>
      </c>
      <c r="P159" t="b">
        <f t="shared" si="5"/>
        <v>0</v>
      </c>
    </row>
    <row r="160" spans="1:16" x14ac:dyDescent="0.25">
      <c r="A160" s="2">
        <v>1</v>
      </c>
      <c r="B160" s="1" t="s">
        <v>75</v>
      </c>
      <c r="C160">
        <v>100</v>
      </c>
      <c r="D160" t="s">
        <v>44</v>
      </c>
      <c r="E160" t="s">
        <v>76</v>
      </c>
      <c r="F160" t="s">
        <v>20</v>
      </c>
      <c r="G160" t="b">
        <v>0</v>
      </c>
      <c r="K160" t="s">
        <v>1129</v>
      </c>
      <c r="L160" t="s">
        <v>251</v>
      </c>
      <c r="M160" t="s">
        <v>396</v>
      </c>
      <c r="N160" t="s">
        <v>1130</v>
      </c>
      <c r="P160" t="b">
        <f t="shared" si="5"/>
        <v>0</v>
      </c>
    </row>
    <row r="161" spans="1:16" x14ac:dyDescent="0.25">
      <c r="A161" s="2">
        <v>1</v>
      </c>
      <c r="B161" s="1" t="s">
        <v>71</v>
      </c>
      <c r="C161">
        <v>50</v>
      </c>
      <c r="D161" t="s">
        <v>129</v>
      </c>
      <c r="E161" t="s">
        <v>72</v>
      </c>
      <c r="F161" t="s">
        <v>20</v>
      </c>
      <c r="G161" t="b">
        <v>1</v>
      </c>
      <c r="K161" t="s">
        <v>1136</v>
      </c>
      <c r="L161" t="s">
        <v>289</v>
      </c>
      <c r="M161" t="s">
        <v>396</v>
      </c>
      <c r="N161" t="s">
        <v>129</v>
      </c>
      <c r="P161" t="b">
        <f t="shared" si="5"/>
        <v>1</v>
      </c>
    </row>
    <row r="162" spans="1:16" x14ac:dyDescent="0.25">
      <c r="A162" s="2">
        <v>1</v>
      </c>
      <c r="B162" s="1" t="s">
        <v>71</v>
      </c>
      <c r="C162">
        <v>50</v>
      </c>
      <c r="D162" t="s">
        <v>1106</v>
      </c>
      <c r="E162" t="s">
        <v>72</v>
      </c>
      <c r="F162" t="s">
        <v>20</v>
      </c>
      <c r="G162" t="b">
        <v>1</v>
      </c>
      <c r="K162" t="s">
        <v>1136</v>
      </c>
      <c r="L162" t="s">
        <v>289</v>
      </c>
      <c r="M162" t="s">
        <v>396</v>
      </c>
      <c r="N162" t="s">
        <v>129</v>
      </c>
      <c r="P162" t="b">
        <f t="shared" si="5"/>
        <v>0</v>
      </c>
    </row>
    <row r="163" spans="1:16" x14ac:dyDescent="0.25">
      <c r="A163" s="2">
        <v>1</v>
      </c>
      <c r="B163" s="1" t="s">
        <v>16</v>
      </c>
      <c r="C163">
        <v>100</v>
      </c>
      <c r="D163" t="s">
        <v>19</v>
      </c>
      <c r="E163" t="s">
        <v>18</v>
      </c>
      <c r="F163" t="s">
        <v>20</v>
      </c>
      <c r="G163" t="b">
        <v>0</v>
      </c>
      <c r="K163" t="s">
        <v>1154</v>
      </c>
      <c r="L163" t="s">
        <v>289</v>
      </c>
      <c r="M163" t="s">
        <v>396</v>
      </c>
      <c r="N163" t="s">
        <v>19</v>
      </c>
      <c r="P163" t="b">
        <f t="shared" si="5"/>
        <v>1</v>
      </c>
    </row>
  </sheetData>
  <autoFilter ref="A1:P163" xr:uid="{450F847F-0845-40FB-8321-392929CDC6A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F7A6-1734-4C81-AFA7-726CF792182A}">
  <sheetPr filterMode="1"/>
  <dimension ref="A1:D80"/>
  <sheetViews>
    <sheetView workbookViewId="0">
      <selection activeCell="A72" sqref="A72:D80"/>
    </sheetView>
  </sheetViews>
  <sheetFormatPr defaultRowHeight="15" x14ac:dyDescent="0.25"/>
  <cols>
    <col min="1" max="1" width="51.140625" bestFit="1" customWidth="1"/>
    <col min="2" max="2" width="12.5703125" bestFit="1" customWidth="1"/>
    <col min="3" max="3" width="8.7109375" bestFit="1" customWidth="1"/>
    <col min="4" max="4" width="20.140625" bestFit="1" customWidth="1"/>
  </cols>
  <sheetData>
    <row r="1" spans="1:4" x14ac:dyDescent="0.25">
      <c r="A1" t="s">
        <v>0</v>
      </c>
      <c r="B1" t="s">
        <v>2</v>
      </c>
      <c r="C1" t="s">
        <v>14</v>
      </c>
      <c r="D1" t="s">
        <v>1174</v>
      </c>
    </row>
    <row r="2" spans="1:4" hidden="1" x14ac:dyDescent="0.25">
      <c r="A2" t="s">
        <v>84</v>
      </c>
      <c r="B2" t="s">
        <v>17</v>
      </c>
      <c r="C2" t="s">
        <v>251</v>
      </c>
      <c r="D2" t="s">
        <v>1186</v>
      </c>
    </row>
    <row r="3" spans="1:4" hidden="1" x14ac:dyDescent="0.25">
      <c r="A3" t="s">
        <v>236</v>
      </c>
      <c r="B3" t="s">
        <v>17</v>
      </c>
      <c r="C3" t="s">
        <v>251</v>
      </c>
      <c r="D3" t="s">
        <v>1223</v>
      </c>
    </row>
    <row r="4" spans="1:4" hidden="1" x14ac:dyDescent="0.25">
      <c r="A4" t="s">
        <v>21</v>
      </c>
      <c r="B4" t="s">
        <v>17</v>
      </c>
      <c r="C4" t="s">
        <v>251</v>
      </c>
      <c r="D4" t="s">
        <v>1175</v>
      </c>
    </row>
    <row r="5" spans="1:4" hidden="1" x14ac:dyDescent="0.25">
      <c r="A5" t="s">
        <v>127</v>
      </c>
      <c r="B5" t="s">
        <v>17</v>
      </c>
      <c r="C5" t="s">
        <v>251</v>
      </c>
      <c r="D5" t="s">
        <v>1192</v>
      </c>
    </row>
    <row r="6" spans="1:4" hidden="1" x14ac:dyDescent="0.25">
      <c r="A6" t="s">
        <v>336</v>
      </c>
      <c r="B6" t="s">
        <v>249</v>
      </c>
      <c r="C6" t="s">
        <v>251</v>
      </c>
      <c r="D6" t="s">
        <v>1240</v>
      </c>
    </row>
    <row r="7" spans="1:4" hidden="1" x14ac:dyDescent="0.25">
      <c r="A7" t="s">
        <v>148</v>
      </c>
      <c r="B7" t="s">
        <v>17</v>
      </c>
      <c r="C7" t="s">
        <v>251</v>
      </c>
      <c r="D7" t="s">
        <v>1199</v>
      </c>
    </row>
    <row r="8" spans="1:4" hidden="1" x14ac:dyDescent="0.25">
      <c r="A8" t="s">
        <v>176</v>
      </c>
      <c r="B8" t="s">
        <v>17</v>
      </c>
      <c r="C8" t="s">
        <v>251</v>
      </c>
      <c r="D8" t="s">
        <v>1204</v>
      </c>
    </row>
    <row r="9" spans="1:4" hidden="1" x14ac:dyDescent="0.25">
      <c r="A9" t="s">
        <v>94</v>
      </c>
      <c r="B9" t="s">
        <v>17</v>
      </c>
      <c r="C9" t="s">
        <v>251</v>
      </c>
      <c r="D9" t="s">
        <v>1188</v>
      </c>
    </row>
    <row r="10" spans="1:4" hidden="1" x14ac:dyDescent="0.25">
      <c r="A10" t="s">
        <v>294</v>
      </c>
      <c r="B10" t="s">
        <v>249</v>
      </c>
      <c r="C10" t="s">
        <v>251</v>
      </c>
      <c r="D10" t="s">
        <v>1233</v>
      </c>
    </row>
    <row r="11" spans="1:4" hidden="1" x14ac:dyDescent="0.25">
      <c r="A11" t="s">
        <v>259</v>
      </c>
      <c r="B11" t="s">
        <v>249</v>
      </c>
      <c r="C11" t="s">
        <v>251</v>
      </c>
      <c r="D11" t="s">
        <v>1228</v>
      </c>
    </row>
    <row r="12" spans="1:4" hidden="1" x14ac:dyDescent="0.25">
      <c r="A12" t="s">
        <v>273</v>
      </c>
      <c r="B12" t="s">
        <v>249</v>
      </c>
      <c r="C12" t="s">
        <v>251</v>
      </c>
      <c r="D12" t="s">
        <v>1231</v>
      </c>
    </row>
    <row r="13" spans="1:4" hidden="1" x14ac:dyDescent="0.25">
      <c r="A13" t="s">
        <v>42</v>
      </c>
      <c r="B13" t="s">
        <v>17</v>
      </c>
      <c r="C13" t="s">
        <v>251</v>
      </c>
      <c r="D13" t="s">
        <v>1179</v>
      </c>
    </row>
    <row r="14" spans="1:4" hidden="1" x14ac:dyDescent="0.25">
      <c r="A14" t="s">
        <v>314</v>
      </c>
      <c r="B14" t="s">
        <v>249</v>
      </c>
      <c r="C14" t="s">
        <v>251</v>
      </c>
      <c r="D14" t="s">
        <v>1238</v>
      </c>
    </row>
    <row r="15" spans="1:4" hidden="1" x14ac:dyDescent="0.25">
      <c r="A15" t="s">
        <v>242</v>
      </c>
      <c r="B15" t="s">
        <v>17</v>
      </c>
      <c r="C15" t="s">
        <v>251</v>
      </c>
      <c r="D15" t="s">
        <v>1225</v>
      </c>
    </row>
    <row r="16" spans="1:4" hidden="1" x14ac:dyDescent="0.25">
      <c r="A16" t="s">
        <v>214</v>
      </c>
      <c r="B16" t="s">
        <v>17</v>
      </c>
      <c r="C16" t="s">
        <v>251</v>
      </c>
      <c r="D16" t="s">
        <v>1216</v>
      </c>
    </row>
    <row r="17" spans="1:4" hidden="1" x14ac:dyDescent="0.25">
      <c r="A17" t="s">
        <v>151</v>
      </c>
      <c r="B17" t="s">
        <v>17</v>
      </c>
      <c r="C17" t="s">
        <v>251</v>
      </c>
      <c r="D17" t="s">
        <v>1200</v>
      </c>
    </row>
    <row r="18" spans="1:4" hidden="1" x14ac:dyDescent="0.25">
      <c r="A18" t="s">
        <v>178</v>
      </c>
      <c r="B18" t="s">
        <v>17</v>
      </c>
      <c r="C18" t="s">
        <v>251</v>
      </c>
      <c r="D18" t="s">
        <v>1205</v>
      </c>
    </row>
    <row r="19" spans="1:4" hidden="1" x14ac:dyDescent="0.25">
      <c r="A19" t="s">
        <v>307</v>
      </c>
      <c r="B19" t="s">
        <v>249</v>
      </c>
      <c r="C19" t="s">
        <v>251</v>
      </c>
      <c r="D19" t="s">
        <v>1236</v>
      </c>
    </row>
    <row r="20" spans="1:4" hidden="1" x14ac:dyDescent="0.25">
      <c r="A20" t="s">
        <v>189</v>
      </c>
      <c r="B20" t="s">
        <v>17</v>
      </c>
      <c r="C20" t="s">
        <v>251</v>
      </c>
      <c r="D20" t="s">
        <v>1209</v>
      </c>
    </row>
    <row r="21" spans="1:4" hidden="1" x14ac:dyDescent="0.25">
      <c r="A21" t="s">
        <v>48</v>
      </c>
      <c r="B21" t="s">
        <v>17</v>
      </c>
      <c r="C21" t="s">
        <v>251</v>
      </c>
      <c r="D21" t="s">
        <v>1181</v>
      </c>
    </row>
    <row r="22" spans="1:4" hidden="1" x14ac:dyDescent="0.25">
      <c r="A22" t="s">
        <v>63</v>
      </c>
      <c r="B22" t="s">
        <v>17</v>
      </c>
      <c r="C22" t="s">
        <v>251</v>
      </c>
      <c r="D22" t="s">
        <v>1182</v>
      </c>
    </row>
    <row r="23" spans="1:4" hidden="1" x14ac:dyDescent="0.25">
      <c r="A23" t="s">
        <v>45</v>
      </c>
      <c r="B23" t="s">
        <v>17</v>
      </c>
      <c r="C23" t="s">
        <v>251</v>
      </c>
      <c r="D23" t="s">
        <v>1180</v>
      </c>
    </row>
    <row r="24" spans="1:4" hidden="1" x14ac:dyDescent="0.25">
      <c r="A24" t="s">
        <v>239</v>
      </c>
      <c r="B24" t="s">
        <v>17</v>
      </c>
      <c r="C24" t="s">
        <v>251</v>
      </c>
      <c r="D24" t="s">
        <v>1224</v>
      </c>
    </row>
    <row r="25" spans="1:4" hidden="1" x14ac:dyDescent="0.25">
      <c r="A25" t="s">
        <v>225</v>
      </c>
      <c r="B25" t="s">
        <v>17</v>
      </c>
      <c r="C25" t="s">
        <v>251</v>
      </c>
      <c r="D25" t="s">
        <v>1220</v>
      </c>
    </row>
    <row r="26" spans="1:4" hidden="1" x14ac:dyDescent="0.25">
      <c r="A26" t="s">
        <v>244</v>
      </c>
      <c r="B26" t="s">
        <v>17</v>
      </c>
      <c r="C26" t="s">
        <v>251</v>
      </c>
      <c r="D26" t="s">
        <v>1226</v>
      </c>
    </row>
    <row r="27" spans="1:4" hidden="1" x14ac:dyDescent="0.25">
      <c r="A27" t="s">
        <v>39</v>
      </c>
      <c r="B27" t="s">
        <v>17</v>
      </c>
      <c r="C27" t="s">
        <v>251</v>
      </c>
      <c r="D27" t="s">
        <v>1178</v>
      </c>
    </row>
    <row r="28" spans="1:4" hidden="1" x14ac:dyDescent="0.25">
      <c r="A28" t="s">
        <v>195</v>
      </c>
      <c r="B28" t="s">
        <v>17</v>
      </c>
      <c r="C28" t="s">
        <v>251</v>
      </c>
      <c r="D28" t="s">
        <v>1210</v>
      </c>
    </row>
    <row r="29" spans="1:4" hidden="1" x14ac:dyDescent="0.25">
      <c r="A29" t="s">
        <v>159</v>
      </c>
      <c r="B29" t="s">
        <v>17</v>
      </c>
      <c r="C29" t="s">
        <v>251</v>
      </c>
      <c r="D29" t="s">
        <v>1202</v>
      </c>
    </row>
    <row r="30" spans="1:4" hidden="1" x14ac:dyDescent="0.25">
      <c r="A30" t="s">
        <v>114</v>
      </c>
      <c r="B30" t="s">
        <v>17</v>
      </c>
      <c r="C30" t="s">
        <v>251</v>
      </c>
      <c r="D30" t="s">
        <v>1190</v>
      </c>
    </row>
    <row r="31" spans="1:4" hidden="1" x14ac:dyDescent="0.25">
      <c r="A31" t="s">
        <v>143</v>
      </c>
      <c r="B31" t="s">
        <v>17</v>
      </c>
      <c r="C31" t="s">
        <v>251</v>
      </c>
      <c r="D31" t="s">
        <v>1197</v>
      </c>
    </row>
    <row r="32" spans="1:4" hidden="1" x14ac:dyDescent="0.25">
      <c r="A32" t="s">
        <v>197</v>
      </c>
      <c r="B32" t="s">
        <v>17</v>
      </c>
      <c r="C32" t="s">
        <v>251</v>
      </c>
      <c r="D32" t="s">
        <v>1211</v>
      </c>
    </row>
    <row r="33" spans="1:4" hidden="1" x14ac:dyDescent="0.25">
      <c r="A33" t="s">
        <v>146</v>
      </c>
      <c r="B33" t="s">
        <v>17</v>
      </c>
      <c r="C33" t="s">
        <v>251</v>
      </c>
      <c r="D33" t="s">
        <v>1198</v>
      </c>
    </row>
    <row r="34" spans="1:4" hidden="1" x14ac:dyDescent="0.25">
      <c r="A34" t="s">
        <v>304</v>
      </c>
      <c r="B34" t="s">
        <v>249</v>
      </c>
      <c r="C34" t="s">
        <v>251</v>
      </c>
      <c r="D34" t="s">
        <v>1235</v>
      </c>
    </row>
    <row r="35" spans="1:4" hidden="1" x14ac:dyDescent="0.25">
      <c r="A35" t="s">
        <v>210</v>
      </c>
      <c r="B35" t="s">
        <v>17</v>
      </c>
      <c r="C35" t="s">
        <v>251</v>
      </c>
      <c r="D35" t="s">
        <v>1214</v>
      </c>
    </row>
    <row r="36" spans="1:4" hidden="1" x14ac:dyDescent="0.25">
      <c r="A36" t="s">
        <v>208</v>
      </c>
      <c r="B36" t="s">
        <v>17</v>
      </c>
      <c r="C36" t="s">
        <v>251</v>
      </c>
      <c r="D36" t="s">
        <v>1213</v>
      </c>
    </row>
    <row r="37" spans="1:4" hidden="1" x14ac:dyDescent="0.25">
      <c r="A37" t="s">
        <v>121</v>
      </c>
      <c r="B37" t="s">
        <v>17</v>
      </c>
      <c r="C37" t="s">
        <v>251</v>
      </c>
      <c r="D37" t="s">
        <v>1191</v>
      </c>
    </row>
    <row r="38" spans="1:4" hidden="1" x14ac:dyDescent="0.25">
      <c r="A38" t="s">
        <v>141</v>
      </c>
      <c r="B38" t="s">
        <v>17</v>
      </c>
      <c r="C38" t="s">
        <v>251</v>
      </c>
      <c r="D38" t="s">
        <v>1196</v>
      </c>
    </row>
    <row r="39" spans="1:4" hidden="1" x14ac:dyDescent="0.25">
      <c r="A39" t="s">
        <v>180</v>
      </c>
      <c r="B39" t="s">
        <v>17</v>
      </c>
      <c r="C39" t="s">
        <v>251</v>
      </c>
      <c r="D39" t="s">
        <v>1206</v>
      </c>
    </row>
    <row r="40" spans="1:4" hidden="1" x14ac:dyDescent="0.25">
      <c r="A40" t="s">
        <v>130</v>
      </c>
      <c r="B40" t="s">
        <v>17</v>
      </c>
      <c r="C40" t="s">
        <v>251</v>
      </c>
      <c r="D40" t="s">
        <v>1193</v>
      </c>
    </row>
    <row r="41" spans="1:4" hidden="1" x14ac:dyDescent="0.25">
      <c r="A41" t="s">
        <v>154</v>
      </c>
      <c r="B41" t="s">
        <v>17</v>
      </c>
      <c r="C41" t="s">
        <v>251</v>
      </c>
      <c r="D41" t="s">
        <v>1201</v>
      </c>
    </row>
    <row r="42" spans="1:4" hidden="1" x14ac:dyDescent="0.25">
      <c r="A42" t="s">
        <v>65</v>
      </c>
      <c r="B42" t="s">
        <v>17</v>
      </c>
      <c r="C42" t="s">
        <v>251</v>
      </c>
      <c r="D42" t="s">
        <v>1183</v>
      </c>
    </row>
    <row r="43" spans="1:4" hidden="1" x14ac:dyDescent="0.25">
      <c r="A43" t="s">
        <v>183</v>
      </c>
      <c r="B43" t="s">
        <v>17</v>
      </c>
      <c r="C43" t="s">
        <v>251</v>
      </c>
      <c r="D43" t="s">
        <v>1207</v>
      </c>
    </row>
    <row r="44" spans="1:4" hidden="1" x14ac:dyDescent="0.25">
      <c r="A44" t="s">
        <v>203</v>
      </c>
      <c r="B44" t="s">
        <v>17</v>
      </c>
      <c r="C44" t="s">
        <v>251</v>
      </c>
      <c r="D44" t="s">
        <v>1212</v>
      </c>
    </row>
    <row r="45" spans="1:4" hidden="1" x14ac:dyDescent="0.25">
      <c r="A45" t="s">
        <v>360</v>
      </c>
      <c r="B45" t="s">
        <v>17</v>
      </c>
      <c r="C45" t="s">
        <v>251</v>
      </c>
      <c r="D45" t="s">
        <v>1247</v>
      </c>
    </row>
    <row r="46" spans="1:4" hidden="1" x14ac:dyDescent="0.25">
      <c r="A46" t="s">
        <v>231</v>
      </c>
      <c r="B46" t="s">
        <v>17</v>
      </c>
      <c r="C46" t="s">
        <v>251</v>
      </c>
      <c r="D46" t="s">
        <v>1221</v>
      </c>
    </row>
    <row r="47" spans="1:4" hidden="1" x14ac:dyDescent="0.25">
      <c r="A47" t="s">
        <v>81</v>
      </c>
      <c r="B47" t="s">
        <v>17</v>
      </c>
      <c r="C47" t="s">
        <v>251</v>
      </c>
      <c r="D47" t="s">
        <v>1185</v>
      </c>
    </row>
    <row r="48" spans="1:4" hidden="1" x14ac:dyDescent="0.25">
      <c r="A48" t="s">
        <v>28</v>
      </c>
      <c r="B48" t="s">
        <v>17</v>
      </c>
      <c r="C48" t="s">
        <v>251</v>
      </c>
      <c r="D48" t="s">
        <v>1177</v>
      </c>
    </row>
    <row r="49" spans="1:4" hidden="1" x14ac:dyDescent="0.25">
      <c r="A49" t="s">
        <v>25</v>
      </c>
      <c r="B49" t="s">
        <v>17</v>
      </c>
      <c r="C49" t="s">
        <v>251</v>
      </c>
      <c r="D49" t="s">
        <v>1176</v>
      </c>
    </row>
    <row r="50" spans="1:4" hidden="1" x14ac:dyDescent="0.25">
      <c r="A50" t="s">
        <v>138</v>
      </c>
      <c r="B50" t="s">
        <v>17</v>
      </c>
      <c r="C50" t="s">
        <v>251</v>
      </c>
      <c r="D50" t="s">
        <v>1195</v>
      </c>
    </row>
    <row r="51" spans="1:4" hidden="1" x14ac:dyDescent="0.25">
      <c r="A51" t="s">
        <v>357</v>
      </c>
      <c r="B51" t="s">
        <v>17</v>
      </c>
      <c r="C51" t="s">
        <v>251</v>
      </c>
      <c r="D51" t="s">
        <v>1246</v>
      </c>
    </row>
    <row r="52" spans="1:4" hidden="1" x14ac:dyDescent="0.25">
      <c r="A52" t="s">
        <v>354</v>
      </c>
      <c r="B52" t="s">
        <v>17</v>
      </c>
      <c r="C52" t="s">
        <v>251</v>
      </c>
      <c r="D52" t="s">
        <v>1245</v>
      </c>
    </row>
    <row r="53" spans="1:4" hidden="1" x14ac:dyDescent="0.25">
      <c r="A53" t="s">
        <v>343</v>
      </c>
      <c r="B53" t="s">
        <v>249</v>
      </c>
      <c r="C53" t="s">
        <v>251</v>
      </c>
      <c r="D53" t="s">
        <v>1241</v>
      </c>
    </row>
    <row r="54" spans="1:4" hidden="1" x14ac:dyDescent="0.25">
      <c r="A54" t="s">
        <v>351</v>
      </c>
      <c r="B54" t="s">
        <v>17</v>
      </c>
      <c r="C54" t="s">
        <v>251</v>
      </c>
      <c r="D54" t="s">
        <v>1244</v>
      </c>
    </row>
    <row r="55" spans="1:4" hidden="1" x14ac:dyDescent="0.25">
      <c r="A55" t="s">
        <v>267</v>
      </c>
      <c r="B55" t="s">
        <v>249</v>
      </c>
      <c r="C55" t="s">
        <v>251</v>
      </c>
      <c r="D55" t="s">
        <v>1229</v>
      </c>
    </row>
    <row r="56" spans="1:4" hidden="1" x14ac:dyDescent="0.25">
      <c r="A56" t="s">
        <v>365</v>
      </c>
      <c r="B56" t="s">
        <v>249</v>
      </c>
      <c r="C56" t="s">
        <v>251</v>
      </c>
      <c r="D56" t="s">
        <v>1249</v>
      </c>
    </row>
    <row r="57" spans="1:4" hidden="1" x14ac:dyDescent="0.25">
      <c r="A57" t="s">
        <v>372</v>
      </c>
      <c r="B57" t="s">
        <v>17</v>
      </c>
      <c r="C57" t="s">
        <v>251</v>
      </c>
      <c r="D57" t="s">
        <v>1251</v>
      </c>
    </row>
    <row r="58" spans="1:4" hidden="1" x14ac:dyDescent="0.25">
      <c r="A58" t="s">
        <v>369</v>
      </c>
      <c r="B58" t="s">
        <v>17</v>
      </c>
      <c r="C58" t="s">
        <v>251</v>
      </c>
      <c r="D58" t="s">
        <v>1250</v>
      </c>
    </row>
    <row r="59" spans="1:4" hidden="1" x14ac:dyDescent="0.25">
      <c r="A59" t="s">
        <v>362</v>
      </c>
      <c r="B59" t="s">
        <v>17</v>
      </c>
      <c r="C59" t="s">
        <v>251</v>
      </c>
      <c r="D59" t="s">
        <v>1248</v>
      </c>
    </row>
    <row r="60" spans="1:4" hidden="1" x14ac:dyDescent="0.25">
      <c r="A60" t="s">
        <v>252</v>
      </c>
      <c r="B60" t="s">
        <v>249</v>
      </c>
      <c r="C60" t="s">
        <v>251</v>
      </c>
      <c r="D60" t="s">
        <v>1227</v>
      </c>
    </row>
    <row r="61" spans="1:4" hidden="1" x14ac:dyDescent="0.25">
      <c r="A61" t="s">
        <v>212</v>
      </c>
      <c r="B61" t="s">
        <v>17</v>
      </c>
      <c r="C61" t="s">
        <v>251</v>
      </c>
      <c r="D61" t="s">
        <v>1215</v>
      </c>
    </row>
    <row r="62" spans="1:4" hidden="1" x14ac:dyDescent="0.25">
      <c r="A62" t="s">
        <v>217</v>
      </c>
      <c r="B62" t="s">
        <v>17</v>
      </c>
      <c r="C62" t="s">
        <v>251</v>
      </c>
      <c r="D62" t="s">
        <v>1217</v>
      </c>
    </row>
    <row r="63" spans="1:4" hidden="1" x14ac:dyDescent="0.25">
      <c r="A63" t="s">
        <v>68</v>
      </c>
      <c r="B63" t="s">
        <v>17</v>
      </c>
      <c r="C63" t="s">
        <v>251</v>
      </c>
      <c r="D63" t="s">
        <v>1184</v>
      </c>
    </row>
    <row r="64" spans="1:4" hidden="1" x14ac:dyDescent="0.25">
      <c r="A64" t="s">
        <v>301</v>
      </c>
      <c r="B64" t="s">
        <v>249</v>
      </c>
      <c r="C64" t="s">
        <v>251</v>
      </c>
      <c r="D64" t="s">
        <v>1234</v>
      </c>
    </row>
    <row r="65" spans="1:4" hidden="1" x14ac:dyDescent="0.25">
      <c r="A65" t="s">
        <v>219</v>
      </c>
      <c r="B65" t="s">
        <v>17</v>
      </c>
      <c r="C65" t="s">
        <v>251</v>
      </c>
      <c r="D65" t="s">
        <v>1218</v>
      </c>
    </row>
    <row r="66" spans="1:4" hidden="1" x14ac:dyDescent="0.25">
      <c r="A66" t="s">
        <v>168</v>
      </c>
      <c r="B66" t="s">
        <v>17</v>
      </c>
      <c r="C66" t="s">
        <v>251</v>
      </c>
      <c r="D66" t="s">
        <v>1203</v>
      </c>
    </row>
    <row r="67" spans="1:4" hidden="1" x14ac:dyDescent="0.25">
      <c r="A67" t="s">
        <v>222</v>
      </c>
      <c r="B67" t="s">
        <v>17</v>
      </c>
      <c r="C67" t="s">
        <v>251</v>
      </c>
      <c r="D67" t="s">
        <v>1219</v>
      </c>
    </row>
    <row r="68" spans="1:4" hidden="1" x14ac:dyDescent="0.25">
      <c r="A68" t="s">
        <v>186</v>
      </c>
      <c r="B68" t="s">
        <v>17</v>
      </c>
      <c r="C68" t="s">
        <v>251</v>
      </c>
      <c r="D68" t="s">
        <v>1208</v>
      </c>
    </row>
    <row r="69" spans="1:4" hidden="1" x14ac:dyDescent="0.25">
      <c r="A69" t="s">
        <v>111</v>
      </c>
      <c r="B69" t="s">
        <v>17</v>
      </c>
      <c r="C69" t="s">
        <v>251</v>
      </c>
      <c r="D69" t="s">
        <v>1189</v>
      </c>
    </row>
    <row r="70" spans="1:4" hidden="1" x14ac:dyDescent="0.25">
      <c r="A70" t="s">
        <v>234</v>
      </c>
      <c r="B70" t="s">
        <v>17</v>
      </c>
      <c r="C70" t="s">
        <v>251</v>
      </c>
      <c r="D70" t="s">
        <v>1222</v>
      </c>
    </row>
    <row r="71" spans="1:4" hidden="1" x14ac:dyDescent="0.25">
      <c r="A71" t="s">
        <v>87</v>
      </c>
      <c r="B71" t="s">
        <v>17</v>
      </c>
      <c r="C71" t="s">
        <v>289</v>
      </c>
      <c r="D71" t="s">
        <v>1187</v>
      </c>
    </row>
    <row r="72" spans="1:4" x14ac:dyDescent="0.25">
      <c r="A72" t="s">
        <v>270</v>
      </c>
      <c r="B72" t="s">
        <v>249</v>
      </c>
      <c r="C72" t="s">
        <v>289</v>
      </c>
      <c r="D72" t="s">
        <v>1230</v>
      </c>
    </row>
    <row r="73" spans="1:4" x14ac:dyDescent="0.25">
      <c r="A73" t="s">
        <v>277</v>
      </c>
      <c r="B73" t="s">
        <v>249</v>
      </c>
      <c r="C73" t="s">
        <v>289</v>
      </c>
      <c r="D73" t="s">
        <v>1232</v>
      </c>
    </row>
    <row r="74" spans="1:4" x14ac:dyDescent="0.25">
      <c r="A74" t="s">
        <v>311</v>
      </c>
      <c r="B74" t="s">
        <v>249</v>
      </c>
      <c r="C74" t="s">
        <v>289</v>
      </c>
      <c r="D74" t="s">
        <v>1237</v>
      </c>
    </row>
    <row r="75" spans="1:4" hidden="1" x14ac:dyDescent="0.25">
      <c r="A75" t="s">
        <v>132</v>
      </c>
      <c r="B75" t="s">
        <v>17</v>
      </c>
      <c r="C75" t="s">
        <v>289</v>
      </c>
      <c r="D75" t="s">
        <v>1194</v>
      </c>
    </row>
    <row r="76" spans="1:4" x14ac:dyDescent="0.25">
      <c r="A76" t="s">
        <v>318</v>
      </c>
      <c r="B76" t="s">
        <v>249</v>
      </c>
      <c r="C76" t="s">
        <v>289</v>
      </c>
      <c r="D76" t="s">
        <v>1239</v>
      </c>
    </row>
    <row r="77" spans="1:4" x14ac:dyDescent="0.25">
      <c r="A77" t="s">
        <v>346</v>
      </c>
      <c r="B77" t="s">
        <v>249</v>
      </c>
      <c r="C77" t="s">
        <v>289</v>
      </c>
      <c r="D77" t="s">
        <v>1242</v>
      </c>
    </row>
    <row r="78" spans="1:4" x14ac:dyDescent="0.25">
      <c r="A78" t="s">
        <v>349</v>
      </c>
      <c r="B78" t="s">
        <v>249</v>
      </c>
      <c r="C78" t="s">
        <v>289</v>
      </c>
      <c r="D78" t="s">
        <v>1243</v>
      </c>
    </row>
    <row r="79" spans="1:4" x14ac:dyDescent="0.25">
      <c r="A79" t="s">
        <v>378</v>
      </c>
      <c r="B79" t="s">
        <v>249</v>
      </c>
      <c r="C79" t="s">
        <v>289</v>
      </c>
      <c r="D79" t="s">
        <v>1252</v>
      </c>
    </row>
    <row r="80" spans="1:4" x14ac:dyDescent="0.25">
      <c r="A80" t="s">
        <v>380</v>
      </c>
      <c r="B80" t="s">
        <v>249</v>
      </c>
      <c r="C80" t="s">
        <v>289</v>
      </c>
      <c r="D80" t="s">
        <v>1253</v>
      </c>
    </row>
  </sheetData>
  <autoFilter ref="A1:D80" xr:uid="{60E3F7A6-1734-4C81-AFA7-726CF792182A}">
    <filterColumn colId="1">
      <filters>
        <filter val="Fixed Income"/>
      </filters>
    </filterColumn>
    <filterColumn colId="2">
      <filters>
        <filter val="USD"/>
      </filters>
    </filterColumn>
  </autoFilter>
  <sortState xmlns:xlrd2="http://schemas.microsoft.com/office/spreadsheetml/2017/richdata2" ref="A1:D80">
    <sortCondition ref="C1:C80"/>
    <sortCondition ref="D1:D80"/>
    <sortCondition ref="B1:B8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FCA4-8D7D-456C-87D5-40F7248C90BC}">
  <dimension ref="A1:L34"/>
  <sheetViews>
    <sheetView workbookViewId="0">
      <selection activeCell="B16" sqref="B16:B18"/>
    </sheetView>
  </sheetViews>
  <sheetFormatPr defaultRowHeight="15" x14ac:dyDescent="0.25"/>
  <cols>
    <col min="1" max="1" width="14.42578125" bestFit="1" customWidth="1"/>
    <col min="2" max="2" width="14.85546875" style="1" bestFit="1" customWidth="1"/>
    <col min="3" max="3" width="9.7109375" bestFit="1" customWidth="1"/>
    <col min="4" max="4" width="89" bestFit="1" customWidth="1"/>
    <col min="5" max="5" width="19.28515625" bestFit="1" customWidth="1"/>
    <col min="6" max="6" width="7.28515625" bestFit="1" customWidth="1"/>
    <col min="7" max="7" width="14.85546875" bestFit="1" customWidth="1"/>
    <col min="8" max="8" width="10.85546875" bestFit="1" customWidth="1"/>
    <col min="9" max="9" width="15.7109375" bestFit="1" customWidth="1"/>
    <col min="10" max="11" width="15.7109375" customWidth="1"/>
    <col min="12" max="12" width="22" bestFit="1" customWidth="1"/>
  </cols>
  <sheetData>
    <row r="1" spans="1:12" x14ac:dyDescent="0.25">
      <c r="A1" s="13" t="s">
        <v>1077</v>
      </c>
      <c r="B1" s="14" t="s">
        <v>1</v>
      </c>
      <c r="C1" s="13" t="s">
        <v>1078</v>
      </c>
      <c r="D1" s="13" t="s">
        <v>1079</v>
      </c>
      <c r="E1" t="s">
        <v>3</v>
      </c>
      <c r="F1" t="s">
        <v>865</v>
      </c>
      <c r="G1" s="13" t="s">
        <v>1080</v>
      </c>
      <c r="H1" s="13" t="s">
        <v>1167</v>
      </c>
      <c r="I1" s="13" t="s">
        <v>1082</v>
      </c>
      <c r="J1" s="13" t="s">
        <v>1168</v>
      </c>
      <c r="K1" s="13" t="s">
        <v>14</v>
      </c>
      <c r="L1" s="13" t="s">
        <v>1083</v>
      </c>
    </row>
    <row r="2" spans="1:12" x14ac:dyDescent="0.25">
      <c r="A2" s="2">
        <v>1</v>
      </c>
      <c r="B2" s="1" t="s">
        <v>333</v>
      </c>
      <c r="C2">
        <v>0.7</v>
      </c>
      <c r="D2" t="s">
        <v>1117</v>
      </c>
      <c r="E2" t="s">
        <v>334</v>
      </c>
      <c r="F2" t="s">
        <v>20</v>
      </c>
      <c r="G2" t="b">
        <v>1</v>
      </c>
      <c r="H2" t="s">
        <v>1125</v>
      </c>
      <c r="I2" t="s">
        <v>1169</v>
      </c>
      <c r="J2" t="b">
        <v>0</v>
      </c>
      <c r="K2" t="s">
        <v>289</v>
      </c>
    </row>
    <row r="3" spans="1:12" x14ac:dyDescent="0.25">
      <c r="A3" s="2">
        <v>1</v>
      </c>
      <c r="B3" s="1" t="s">
        <v>333</v>
      </c>
      <c r="C3">
        <v>0.3</v>
      </c>
      <c r="D3" t="s">
        <v>1120</v>
      </c>
      <c r="E3" t="s">
        <v>334</v>
      </c>
      <c r="F3" t="s">
        <v>20</v>
      </c>
      <c r="G3" t="b">
        <v>1</v>
      </c>
      <c r="H3" t="s">
        <v>1125</v>
      </c>
      <c r="I3" t="s">
        <v>1170</v>
      </c>
      <c r="J3" t="b">
        <v>0</v>
      </c>
      <c r="K3" t="s">
        <v>289</v>
      </c>
    </row>
    <row r="4" spans="1:12" x14ac:dyDescent="0.25">
      <c r="A4" s="2">
        <v>1</v>
      </c>
      <c r="B4" s="1" t="s">
        <v>281</v>
      </c>
      <c r="C4">
        <v>0.8</v>
      </c>
      <c r="D4" t="s">
        <v>1139</v>
      </c>
      <c r="E4" t="s">
        <v>282</v>
      </c>
      <c r="F4" t="s">
        <v>20</v>
      </c>
      <c r="G4" t="b">
        <v>1</v>
      </c>
      <c r="H4" t="s">
        <v>1125</v>
      </c>
      <c r="I4" t="s">
        <v>1118</v>
      </c>
      <c r="J4" t="b">
        <v>0</v>
      </c>
      <c r="K4" t="s">
        <v>251</v>
      </c>
    </row>
    <row r="5" spans="1:12" x14ac:dyDescent="0.25">
      <c r="A5" s="2">
        <v>1</v>
      </c>
      <c r="B5" s="1" t="s">
        <v>281</v>
      </c>
      <c r="C5">
        <v>0.2</v>
      </c>
      <c r="D5" t="s">
        <v>1140</v>
      </c>
      <c r="E5" t="s">
        <v>282</v>
      </c>
      <c r="F5" t="s">
        <v>20</v>
      </c>
      <c r="G5" t="b">
        <v>1</v>
      </c>
      <c r="H5" t="s">
        <v>1125</v>
      </c>
      <c r="I5" t="s">
        <v>1171</v>
      </c>
      <c r="J5" t="b">
        <v>0</v>
      </c>
      <c r="K5" t="s">
        <v>251</v>
      </c>
    </row>
    <row r="6" spans="1:12" s="3" customFormat="1" x14ac:dyDescent="0.25">
      <c r="A6" s="4">
        <v>45809</v>
      </c>
      <c r="B6" s="3" t="s">
        <v>298</v>
      </c>
      <c r="C6" s="3">
        <v>0.55000000000000004</v>
      </c>
      <c r="D6" s="16" t="s">
        <v>1149</v>
      </c>
      <c r="E6" s="3" t="s">
        <v>299</v>
      </c>
      <c r="F6" s="3" t="s">
        <v>20</v>
      </c>
      <c r="G6" s="3" t="b">
        <v>1</v>
      </c>
      <c r="H6" s="3" t="s">
        <v>1125</v>
      </c>
      <c r="I6" s="3" t="s">
        <v>1150</v>
      </c>
      <c r="J6" s="3" t="b">
        <v>0</v>
      </c>
      <c r="K6" s="3" t="s">
        <v>289</v>
      </c>
      <c r="L6" s="3" t="s">
        <v>1127</v>
      </c>
    </row>
    <row r="7" spans="1:12" s="3" customFormat="1" x14ac:dyDescent="0.25">
      <c r="A7" s="4">
        <v>45809</v>
      </c>
      <c r="B7" s="3" t="s">
        <v>298</v>
      </c>
      <c r="C7" s="3">
        <v>0.45</v>
      </c>
      <c r="D7" s="16" t="s">
        <v>1124</v>
      </c>
      <c r="E7" s="3" t="s">
        <v>299</v>
      </c>
      <c r="F7" s="3" t="s">
        <v>20</v>
      </c>
      <c r="G7" s="3" t="b">
        <v>1</v>
      </c>
      <c r="H7" s="3" t="s">
        <v>1125</v>
      </c>
      <c r="I7" s="3" t="s">
        <v>1126</v>
      </c>
      <c r="J7" s="3" t="b">
        <v>0</v>
      </c>
      <c r="K7" s="3" t="s">
        <v>289</v>
      </c>
      <c r="L7" s="3" t="s">
        <v>1127</v>
      </c>
    </row>
    <row r="8" spans="1:12" x14ac:dyDescent="0.25">
      <c r="A8" s="2">
        <v>1</v>
      </c>
      <c r="B8" s="1" t="s">
        <v>291</v>
      </c>
      <c r="C8">
        <v>0.7</v>
      </c>
      <c r="D8" t="s">
        <v>1152</v>
      </c>
      <c r="E8" t="s">
        <v>292</v>
      </c>
      <c r="F8" t="s">
        <v>20</v>
      </c>
      <c r="G8" t="b">
        <v>1</v>
      </c>
      <c r="H8" t="s">
        <v>1125</v>
      </c>
      <c r="I8" t="s">
        <v>1118</v>
      </c>
      <c r="J8" t="b">
        <v>0</v>
      </c>
      <c r="K8" t="s">
        <v>251</v>
      </c>
    </row>
    <row r="9" spans="1:12" x14ac:dyDescent="0.25">
      <c r="A9" s="2">
        <v>1</v>
      </c>
      <c r="B9" s="1" t="s">
        <v>291</v>
      </c>
      <c r="C9">
        <v>0.3</v>
      </c>
      <c r="D9" t="s">
        <v>1153</v>
      </c>
      <c r="E9" t="s">
        <v>292</v>
      </c>
      <c r="F9" t="s">
        <v>20</v>
      </c>
      <c r="G9" t="b">
        <v>1</v>
      </c>
      <c r="H9" t="s">
        <v>1125</v>
      </c>
      <c r="I9" t="s">
        <v>1171</v>
      </c>
      <c r="J9" t="b">
        <v>0</v>
      </c>
      <c r="K9" t="s">
        <v>251</v>
      </c>
    </row>
    <row r="10" spans="1:12" x14ac:dyDescent="0.25">
      <c r="A10" s="2">
        <v>1</v>
      </c>
      <c r="B10" s="1" t="s">
        <v>200</v>
      </c>
      <c r="C10">
        <v>0.5</v>
      </c>
      <c r="D10" t="s">
        <v>1162</v>
      </c>
      <c r="E10" t="s">
        <v>201</v>
      </c>
      <c r="F10" t="s">
        <v>20</v>
      </c>
      <c r="G10" t="b">
        <v>1</v>
      </c>
      <c r="H10" t="s">
        <v>1134</v>
      </c>
      <c r="I10" t="s">
        <v>1172</v>
      </c>
      <c r="J10" t="b">
        <v>0</v>
      </c>
      <c r="K10" t="s">
        <v>251</v>
      </c>
    </row>
    <row r="11" spans="1:12" x14ac:dyDescent="0.25">
      <c r="A11" s="2">
        <v>1</v>
      </c>
      <c r="B11" s="1" t="s">
        <v>200</v>
      </c>
      <c r="C11">
        <v>0.5</v>
      </c>
      <c r="D11" t="s">
        <v>1163</v>
      </c>
      <c r="E11" t="s">
        <v>201</v>
      </c>
      <c r="F11" t="s">
        <v>20</v>
      </c>
      <c r="G11" t="b">
        <v>1</v>
      </c>
      <c r="H11" t="s">
        <v>1134</v>
      </c>
      <c r="I11" t="s">
        <v>1173</v>
      </c>
      <c r="J11" t="b">
        <v>0</v>
      </c>
      <c r="K11" t="s">
        <v>251</v>
      </c>
    </row>
    <row r="12" spans="1:12" x14ac:dyDescent="0.25">
      <c r="A12" s="2">
        <v>1</v>
      </c>
      <c r="B12" s="1" t="s">
        <v>71</v>
      </c>
      <c r="C12">
        <v>0.5</v>
      </c>
      <c r="D12" t="s">
        <v>129</v>
      </c>
      <c r="E12" t="s">
        <v>72</v>
      </c>
      <c r="F12" t="s">
        <v>20</v>
      </c>
      <c r="G12" t="b">
        <v>1</v>
      </c>
      <c r="H12" t="s">
        <v>1134</v>
      </c>
      <c r="I12" t="s">
        <v>1136</v>
      </c>
      <c r="J12" t="b">
        <v>0</v>
      </c>
      <c r="K12" t="s">
        <v>251</v>
      </c>
    </row>
    <row r="13" spans="1:12" x14ac:dyDescent="0.25">
      <c r="A13" s="2">
        <v>1</v>
      </c>
      <c r="B13" s="1" t="s">
        <v>71</v>
      </c>
      <c r="C13">
        <v>0.5</v>
      </c>
      <c r="D13" t="s">
        <v>1106</v>
      </c>
      <c r="E13" t="s">
        <v>72</v>
      </c>
      <c r="F13" t="s">
        <v>20</v>
      </c>
      <c r="G13" t="b">
        <v>1</v>
      </c>
      <c r="H13" t="s">
        <v>1134</v>
      </c>
      <c r="J13" t="b">
        <v>0</v>
      </c>
      <c r="K13" t="s">
        <v>251</v>
      </c>
    </row>
    <row r="14" spans="1:12" x14ac:dyDescent="0.25">
      <c r="A14" s="2">
        <v>1</v>
      </c>
      <c r="B14" s="1" t="s">
        <v>248</v>
      </c>
      <c r="C14">
        <v>0.5</v>
      </c>
      <c r="D14" t="s">
        <v>1256</v>
      </c>
      <c r="E14" t="s">
        <v>250</v>
      </c>
      <c r="F14" t="s">
        <v>20</v>
      </c>
      <c r="G14" t="b">
        <v>1</v>
      </c>
      <c r="H14" t="s">
        <v>1125</v>
      </c>
      <c r="I14" s="3" t="s">
        <v>1126</v>
      </c>
      <c r="J14" t="b">
        <v>0</v>
      </c>
      <c r="K14" t="s">
        <v>251</v>
      </c>
    </row>
    <row r="15" spans="1:12" x14ac:dyDescent="0.25">
      <c r="A15" s="2">
        <v>1</v>
      </c>
      <c r="B15" s="1" t="s">
        <v>248</v>
      </c>
      <c r="C15">
        <v>0.5</v>
      </c>
      <c r="D15" t="s">
        <v>1255</v>
      </c>
      <c r="E15" t="s">
        <v>250</v>
      </c>
      <c r="F15" t="s">
        <v>20</v>
      </c>
      <c r="G15" t="b">
        <v>1</v>
      </c>
      <c r="H15" t="s">
        <v>1125</v>
      </c>
      <c r="I15" s="3" t="s">
        <v>1122</v>
      </c>
      <c r="J15" t="b">
        <v>0</v>
      </c>
      <c r="K15" t="s">
        <v>251</v>
      </c>
    </row>
    <row r="16" spans="1:12" x14ac:dyDescent="0.25">
      <c r="A16" s="2">
        <v>1</v>
      </c>
      <c r="B16" s="1" t="s">
        <v>60</v>
      </c>
      <c r="C16">
        <v>1</v>
      </c>
      <c r="D16" t="s">
        <v>1264</v>
      </c>
      <c r="F16" t="s">
        <v>20</v>
      </c>
      <c r="G16" t="b">
        <v>0</v>
      </c>
      <c r="H16" t="s">
        <v>1134</v>
      </c>
      <c r="I16" t="s">
        <v>1132</v>
      </c>
      <c r="J16" t="b">
        <v>0</v>
      </c>
      <c r="K16" t="s">
        <v>251</v>
      </c>
      <c r="L16" t="s">
        <v>1265</v>
      </c>
    </row>
    <row r="17" spans="1:12" x14ac:dyDescent="0.25">
      <c r="A17" s="2">
        <v>1</v>
      </c>
      <c r="B17" s="1" t="s">
        <v>118</v>
      </c>
      <c r="C17">
        <v>1</v>
      </c>
      <c r="D17" t="s">
        <v>1264</v>
      </c>
      <c r="F17" t="s">
        <v>20</v>
      </c>
      <c r="G17" t="b">
        <v>0</v>
      </c>
      <c r="H17" t="s">
        <v>1134</v>
      </c>
      <c r="I17" t="s">
        <v>1132</v>
      </c>
      <c r="J17" t="b">
        <v>0</v>
      </c>
      <c r="K17" t="s">
        <v>251</v>
      </c>
      <c r="L17" t="s">
        <v>1265</v>
      </c>
    </row>
    <row r="18" spans="1:12" x14ac:dyDescent="0.25">
      <c r="A18" s="2">
        <v>1</v>
      </c>
      <c r="B18" s="1" t="s">
        <v>229</v>
      </c>
      <c r="C18">
        <v>1</v>
      </c>
      <c r="D18" t="s">
        <v>1264</v>
      </c>
      <c r="F18" t="s">
        <v>20</v>
      </c>
      <c r="G18" t="b">
        <v>0</v>
      </c>
      <c r="H18" t="s">
        <v>1134</v>
      </c>
      <c r="I18" t="s">
        <v>1132</v>
      </c>
      <c r="J18" t="b">
        <v>0</v>
      </c>
      <c r="K18" t="s">
        <v>251</v>
      </c>
      <c r="L18" t="s">
        <v>1265</v>
      </c>
    </row>
    <row r="20" spans="1:12" x14ac:dyDescent="0.25">
      <c r="B20"/>
    </row>
    <row r="23" spans="1:12" x14ac:dyDescent="0.25">
      <c r="G23" s="17"/>
    </row>
    <row r="24" spans="1:12" x14ac:dyDescent="0.25">
      <c r="B24"/>
    </row>
    <row r="25" spans="1:12" x14ac:dyDescent="0.25">
      <c r="B25"/>
    </row>
    <row r="26" spans="1:12" x14ac:dyDescent="0.25">
      <c r="B26"/>
    </row>
    <row r="27" spans="1:12" x14ac:dyDescent="0.25">
      <c r="B27"/>
    </row>
    <row r="28" spans="1:12" x14ac:dyDescent="0.25">
      <c r="B28"/>
    </row>
    <row r="29" spans="1:12" x14ac:dyDescent="0.25">
      <c r="B29"/>
    </row>
    <row r="30" spans="1:12" x14ac:dyDescent="0.25">
      <c r="B30"/>
    </row>
    <row r="31" spans="1:12" x14ac:dyDescent="0.25">
      <c r="B31"/>
    </row>
    <row r="32" spans="1:12" x14ac:dyDescent="0.25">
      <c r="B32"/>
    </row>
    <row r="33" spans="2:2" x14ac:dyDescent="0.25">
      <c r="B33"/>
    </row>
    <row r="34" spans="2:2" x14ac:dyDescent="0.25">
      <c r="B34"/>
    </row>
  </sheetData>
  <autoFilter ref="A1:L13" xr:uid="{1BE1FCA4-8D7D-456C-87D5-40F7248C90BC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3bd533d7-7e8f-4c43-aea5-a991b7379ea4">Dashboard</DocumentType>
    <TaxCatchAll xmlns="67fa6132-89ef-4492-8fae-a0842872d860" xsi:nil="true"/>
    <PortfolioName xmlns="3bd533d7-7e8f-4c43-aea5-a991b7379ea4" xsi:nil="true"/>
    <lcf76f155ced4ddcb4097134ff3c332f xmlns="3bd533d7-7e8f-4c43-aea5-a991b7379ea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BA96E51BC7FE4881A0F7840B09868B" ma:contentTypeVersion="22" ma:contentTypeDescription="Create a new document." ma:contentTypeScope="" ma:versionID="b81ef3f91e824eedf04a5a67f0572bbe">
  <xsd:schema xmlns:xsd="http://www.w3.org/2001/XMLSchema" xmlns:xs="http://www.w3.org/2001/XMLSchema" xmlns:p="http://schemas.microsoft.com/office/2006/metadata/properties" xmlns:ns2="67fa6132-89ef-4492-8fae-a0842872d860" xmlns:ns3="3bd533d7-7e8f-4c43-aea5-a991b7379ea4" targetNamespace="http://schemas.microsoft.com/office/2006/metadata/properties" ma:root="true" ma:fieldsID="dd0eb9044858f838280e13ba0b652102" ns2:_="" ns3:_="">
    <xsd:import namespace="67fa6132-89ef-4492-8fae-a0842872d860"/>
    <xsd:import namespace="3bd533d7-7e8f-4c43-aea5-a991b7379ea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CatchAll" minOccurs="0"/>
                <xsd:element ref="ns3:DocumentType" minOccurs="0"/>
                <xsd:element ref="ns3:PortfolioName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a6132-89ef-4492-8fae-a0842872d8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67459d8a-4e02-48c7-ba96-a1a22cdca197}" ma:internalName="TaxCatchAll" ma:showField="CatchAllData" ma:web="67fa6132-89ef-4492-8fae-a0842872d8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533d7-7e8f-4c43-aea5-a991b7379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DocumentType" ma:index="13" nillable="true" ma:displayName="DocumentType" ma:default="Dashboard" ma:internalName="DocumentType">
      <xsd:simpleType>
        <xsd:restriction base="dms:Choice">
          <xsd:enumeration value="Dashboard"/>
          <xsd:enumeration value="PerformanceAttribution"/>
          <xsd:enumeration value="ReturnsAnalysis"/>
          <xsd:enumeration value="XLRawDataSet"/>
          <xsd:enumeration value="XLpaData"/>
          <xsd:enumeration value="XLtables"/>
        </xsd:restriction>
      </xsd:simpleType>
    </xsd:element>
    <xsd:element name="PortfolioName" ma:index="14" nillable="true" ma:displayName="PortfolioName" ma:description="Name of the portfolio" ma:internalName="PortfolioName">
      <xsd:simpleType>
        <xsd:restriction base="dms:Choice">
          <xsd:enumeration value="CH COUNTER CYCLICAL EQUITY"/>
          <xsd:enumeration value="CH CYCLICAL EQUITY"/>
          <xsd:enumeration value="CH EMERGING MARKETS EQUITY"/>
          <xsd:enumeration value="CH ENERGY EQUITY"/>
          <xsd:enumeration value="CH EURO BOND"/>
          <xsd:enumeration value="CH EURO INCOME"/>
          <xsd:enumeration value="CH EUROPEAN EQUITY"/>
          <xsd:enumeration value="CH FINANCIAL EQUITY"/>
          <xsd:enumeration value="CH FLEXIBLE"/>
          <xsd:enumeration value="CH GERMANY EQUITY"/>
          <xsd:enumeration value="CH INTERNATIONAL BOND"/>
          <xsd:enumeration value="CH INTERNATIONAL EQUITY"/>
          <xsd:enumeration value="CH INTERNATIONAL INCOME"/>
          <xsd:enumeration value="CH ITALIAN EQUITY"/>
          <xsd:enumeration value="CH LIQUIDITY EURO"/>
          <xsd:enumeration value="CH LIQUIDITY US DOLLAR"/>
          <xsd:enumeration value="CH NORTH AMERICAN EQUITY"/>
          <xsd:enumeration value="CH PACIFIC EQUITY"/>
          <xsd:enumeration value="CH PROVIDENT 1"/>
          <xsd:enumeration value="CH PROVIDENT 2"/>
          <xsd:enumeration value="CH PROVIDENT 3"/>
          <xsd:enumeration value="CH PROVIDENT 4"/>
          <xsd:enumeration value="CH PROVIDENT 5"/>
          <xsd:enumeration value="CH SOLIDITY AND RETURN"/>
          <xsd:enumeration value="CH SPAIN EQUITY"/>
          <xsd:enumeration value="CH TECHNOLOGY EQUITY"/>
          <xsd:enumeration value="GAMAX FUNDS ASIA PACIFIC"/>
          <xsd:enumeration value="GAMAX FUNDS JUNIOR"/>
          <xsd:enumeration value="GAMAX FUNDS MAXI-BOND"/>
          <xsd:enumeration value="MBB BLACKROCK GLOBAL SELECTION"/>
          <xsd:enumeration value="MBB CARMIGNAC STRATEGIC SELECTION"/>
          <xsd:enumeration value="MBB CONVERTIBLE STRATEGY COLLECTION"/>
          <xsd:enumeration value="MBB COUPON STRATEGY COLLECTION"/>
          <xsd:enumeration value="MBB DWS SELECTION"/>
          <xsd:enumeration value="MBB DYNAMIC COLLECTION"/>
          <xsd:enumeration value="MBB DYNAMIC INTERNATIONAL VALUE OPPORTUNITY"/>
          <xsd:enumeration value="MBB EMERGING MARKETS COLLECTION"/>
          <xsd:enumeration value="MBB EQUILIBRIUM"/>
          <xsd:enumeration value="MBB EQUITY POWER COUPON COLLECTION"/>
          <xsd:enumeration value="MBB EURO FIXED INCOME"/>
          <xsd:enumeration value="MBB EUROPEAN COLLECTION"/>
          <xsd:enumeration value="MBB EUROPEAN COUPON STRATEGY COLLECTION"/>
          <xsd:enumeration value="MBB FIDELITY ASIAN SELECTION"/>
          <xsd:enumeration value="MBB FINANCIAL INCOME STRATEGY"/>
          <xsd:enumeration value="MBB FRANKLIN TEMPLETON SELECTION"/>
          <xsd:enumeration value="MBB GLOBAL HIGH YIELD"/>
          <xsd:enumeration value="MBB GLOBAL TECH COLLECTION"/>
          <xsd:enumeration value="MBB INFRASTRUCTURE OPPORTUNITY COLLECTION"/>
          <xsd:enumeration value="MBB INVESCO BALANCED RISK COUPON SELECTION"/>
          <xsd:enumeration value="MBB JPMORGAN GLOBAL SELECTION"/>
          <xsd:enumeration value="MBB LONG SHORT STRAT COLLECTION"/>
          <xsd:enumeration value="MBB MORGAN STANLEY GLOBAL SELECTION"/>
          <xsd:enumeration value="MBB NEW OPPORTUNITIES COLLECTION"/>
          <xsd:enumeration value="MBB PACIFIC COLLECTION"/>
          <xsd:enumeration value="MBB PIMCO INFLATION STRATEGY SELECTION"/>
          <xsd:enumeration value="MBB PREMIUM COUPON COLLECTION"/>
          <xsd:enumeration value="MBB SOCIALLY RESPONSIBLE COLLECTION"/>
          <xsd:enumeration value="MBB US COLLECTION"/>
          <xsd:enumeration value="MBB US COUPON STRATEGY COLLECTION"/>
          <xsd:enumeration value="MEDIOLANUM SPEC SICAV SIF-EQUITY INCOME"/>
          <xsd:enumeration value="MEDIOLANUM SPEC SIF-DIVERSIFIED INCOME"/>
        </xsd:restriction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5ea3b1-49e9-4386-b2ee-78a763d70a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DBABFC-18CA-4711-88A6-B43620A922B6}">
  <ds:schemaRefs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67fa6132-89ef-4492-8fae-a0842872d860"/>
    <ds:schemaRef ds:uri="http://schemas.openxmlformats.org/package/2006/metadata/core-properties"/>
    <ds:schemaRef ds:uri="3bd533d7-7e8f-4c43-aea5-a991b7379ea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9658706-A297-4498-8956-A0C0D1D3C1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fa6132-89ef-4492-8fae-a0842872d860"/>
    <ds:schemaRef ds:uri="3bd533d7-7e8f-4c43-aea5-a991b7379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F83DD2-22E5-4F63-A726-219DDF1FF2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FinalMap</vt:lpstr>
      <vt:lpstr>TE_AT_112025</vt:lpstr>
      <vt:lpstr>Sheet3</vt:lpstr>
      <vt:lpstr>IAvMS_MAP</vt:lpstr>
      <vt:lpstr>Sheet2</vt:lpstr>
      <vt:lpstr>SAA_Map_Breakdown</vt:lpstr>
      <vt:lpstr>Sheet1</vt:lpstr>
      <vt:lpstr>Exceptions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Hitansh Chauhan</dc:creator>
  <cp:keywords/>
  <dc:description/>
  <cp:lastModifiedBy>Shreya Lingam</cp:lastModifiedBy>
  <cp:revision/>
  <dcterms:created xsi:type="dcterms:W3CDTF">2025-06-19T13:26:08Z</dcterms:created>
  <dcterms:modified xsi:type="dcterms:W3CDTF">2026-07-22T11:05:52Z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cd2ed6-a2a0-4125-9165-0782013a9ca2_Enabled">
    <vt:lpwstr>true</vt:lpwstr>
  </property>
  <property fmtid="{D5CDD505-2E9C-101B-9397-08002B2CF9AE}" pid="3" name="MSIP_Label_c9cd2ed6-a2a0-4125-9165-0782013a9ca2_SetDate">
    <vt:lpwstr>2025-06-19T13:26:23Z</vt:lpwstr>
  </property>
  <property fmtid="{D5CDD505-2E9C-101B-9397-08002B2CF9AE}" pid="4" name="MSIP_Label_c9cd2ed6-a2a0-4125-9165-0782013a9ca2_Method">
    <vt:lpwstr>Standard</vt:lpwstr>
  </property>
  <property fmtid="{D5CDD505-2E9C-101B-9397-08002B2CF9AE}" pid="5" name="MSIP_Label_c9cd2ed6-a2a0-4125-9165-0782013a9ca2_Name">
    <vt:lpwstr>c9cd2ed6-a2a0-4125-9165-0782013a9ca2</vt:lpwstr>
  </property>
  <property fmtid="{D5CDD505-2E9C-101B-9397-08002B2CF9AE}" pid="6" name="MSIP_Label_c9cd2ed6-a2a0-4125-9165-0782013a9ca2_SiteId">
    <vt:lpwstr>7c003704-d975-40f3-a18d-7c4b6c11c093</vt:lpwstr>
  </property>
  <property fmtid="{D5CDD505-2E9C-101B-9397-08002B2CF9AE}" pid="7" name="MSIP_Label_c9cd2ed6-a2a0-4125-9165-0782013a9ca2_ActionId">
    <vt:lpwstr>85dc1818-889f-480c-abfd-ba7330a03bfc</vt:lpwstr>
  </property>
  <property fmtid="{D5CDD505-2E9C-101B-9397-08002B2CF9AE}" pid="8" name="MSIP_Label_c9cd2ed6-a2a0-4125-9165-0782013a9ca2_ContentBits">
    <vt:lpwstr>0</vt:lpwstr>
  </property>
  <property fmtid="{D5CDD505-2E9C-101B-9397-08002B2CF9AE}" pid="9" name="MSIP_Label_c9cd2ed6-a2a0-4125-9165-0782013a9ca2_Tag">
    <vt:lpwstr>10, 3, 0, 1</vt:lpwstr>
  </property>
  <property fmtid="{D5CDD505-2E9C-101B-9397-08002B2CF9AE}" pid="10" name="ContentTypeId">
    <vt:lpwstr>0x01010080BA96E51BC7FE4881A0F7840B09868B</vt:lpwstr>
  </property>
  <property fmtid="{D5CDD505-2E9C-101B-9397-08002B2CF9AE}" pid="11" name="MediaServiceImageTags">
    <vt:lpwstr/>
  </property>
</Properties>
</file>